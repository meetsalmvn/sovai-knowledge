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Records" sheetId="1" state="visible" r:id="rId1"/>
  </sheets>
  <definedNames>
    <definedName name="_xlnm._FilterDatabase" localSheetId="0" hidden="1">'Data Records'!$A$1:$F$11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F172A"/>
      <sz val="10"/>
    </font>
    <font>
      <name val="Segoe UI"/>
      <b val="1"/>
      <color rgb="000F172A"/>
      <sz val="10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CBD5E1"/>
      </left>
      <right style="thin">
        <color rgb="00CBD5E1"/>
      </right>
      <top style="thin">
        <color rgb="0094A3B8"/>
      </top>
      <bottom style="double">
        <color rgb="001E293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 vertical="center"/>
    </xf>
    <xf numFmtId="4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right" vertical="center"/>
    </xf>
    <xf numFmtId="4" fontId="2" fillId="4" borderId="1" applyAlignment="1" pivotButton="0" quotePrefix="0" xfId="0">
      <alignment horizontal="right" vertical="center"/>
    </xf>
    <xf numFmtId="0" fontId="3" fillId="5" borderId="2" applyAlignment="1" pivotButton="0" quotePrefix="0" xfId="0">
      <alignment horizontal="left" vertical="center"/>
    </xf>
    <xf numFmtId="164" fontId="3" fillId="5" borderId="2" applyAlignment="1" pivotButton="0" quotePrefix="0" xfId="0">
      <alignment horizontal="right" vertical="center"/>
    </xf>
    <xf numFmtId="4" fontId="3" fillId="5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6" customHeight="1">
      <c r="A1" s="1" t="inlineStr">
        <is>
          <t>Enterprise Cloud</t>
        </is>
      </c>
      <c r="B1" s="1" t="inlineStr">
        <is>
          <t>$2,850.00</t>
        </is>
      </c>
      <c r="C1" s="1" t="inlineStr">
        <is>
          <t>$3,120.00</t>
        </is>
      </c>
      <c r="D1" s="1" t="inlineStr">
        <is>
          <t>$1,420.00</t>
        </is>
      </c>
      <c r="E1" s="1" t="inlineStr">
        <is>
          <t>54.5</t>
        </is>
      </c>
      <c r="F1" s="1" t="inlineStr">
        <is>
          <t>9.5</t>
        </is>
      </c>
    </row>
    <row r="2" ht="20" customHeight="1">
      <c r="A2" s="2" t="inlineStr">
        <is>
          <t>Aerospace &amp; Defense</t>
        </is>
      </c>
      <c r="B2" s="3" t="n">
        <v>3420</v>
      </c>
      <c r="C2" s="3" t="n">
        <v>3680</v>
      </c>
      <c r="D2" s="3" t="n">
        <v>1850</v>
      </c>
      <c r="E2" s="4" t="n">
        <v>49.7</v>
      </c>
      <c r="F2" s="4" t="n">
        <v>7.6</v>
      </c>
    </row>
    <row r="3" ht="20" customHeight="1">
      <c r="A3" s="5" t="inlineStr">
        <is>
          <t>Energy Infrastructure</t>
        </is>
      </c>
      <c r="B3" s="6" t="n">
        <v>2190</v>
      </c>
      <c r="C3" s="6" t="n">
        <v>2450</v>
      </c>
      <c r="D3" s="6" t="n">
        <v>1120</v>
      </c>
      <c r="E3" s="7" t="n">
        <v>54.3</v>
      </c>
      <c r="F3" s="7" t="n">
        <v>11.9</v>
      </c>
    </row>
    <row r="4" ht="20" customHeight="1">
      <c r="A4" s="2" t="inlineStr">
        <is>
          <t>Financial Services</t>
        </is>
      </c>
      <c r="B4" s="3" t="n">
        <v>4100</v>
      </c>
      <c r="C4" s="3" t="n">
        <v>4350</v>
      </c>
      <c r="D4" s="3" t="n">
        <v>2010</v>
      </c>
      <c r="E4" s="4" t="n">
        <v>53.8</v>
      </c>
      <c r="F4" s="4" t="n">
        <v>6.1</v>
      </c>
    </row>
    <row r="5" ht="20" customHeight="1">
      <c r="A5" s="5" t="inlineStr">
        <is>
          <t>Healthcare Systems</t>
        </is>
      </c>
      <c r="B5" s="6" t="n">
        <v>1950</v>
      </c>
      <c r="C5" s="6" t="n">
        <v>2180</v>
      </c>
      <c r="D5" s="6" t="n">
        <v>980</v>
      </c>
      <c r="E5" s="7" t="n">
        <v>55</v>
      </c>
      <c r="F5" s="7" t="n">
        <v>11.8</v>
      </c>
    </row>
    <row r="6" ht="20" customHeight="1">
      <c r="A6" s="2" t="inlineStr">
        <is>
          <t>Automotive Tech</t>
        </is>
      </c>
      <c r="B6" s="3" t="n">
        <v>1680</v>
      </c>
      <c r="C6" s="3" t="n">
        <v>1890</v>
      </c>
      <c r="D6" s="3" t="n">
        <v>890</v>
      </c>
      <c r="E6" s="4" t="n">
        <v>52.9</v>
      </c>
      <c r="F6" s="4" t="n">
        <v>12.5</v>
      </c>
    </row>
    <row r="7" ht="20" customHeight="1">
      <c r="A7" s="5" t="inlineStr">
        <is>
          <t>Cyber Defense Core</t>
        </is>
      </c>
      <c r="B7" s="6" t="n">
        <v>2400</v>
      </c>
      <c r="C7" s="6" t="n">
        <v>2750</v>
      </c>
      <c r="D7" s="6" t="n">
        <v>1150</v>
      </c>
      <c r="E7" s="7" t="n">
        <v>58.2</v>
      </c>
      <c r="F7" s="7" t="n">
        <v>14.6</v>
      </c>
    </row>
    <row r="8" ht="20" customHeight="1">
      <c r="A8" s="2" t="inlineStr">
        <is>
          <t>Public Sector IT</t>
        </is>
      </c>
      <c r="B8" s="3" t="n">
        <v>1540</v>
      </c>
      <c r="C8" s="3" t="n">
        <v>1620</v>
      </c>
      <c r="D8" s="3" t="n">
        <v>820</v>
      </c>
      <c r="E8" s="4" t="n">
        <v>49.4</v>
      </c>
      <c r="F8" s="4" t="n">
        <v>5.2</v>
      </c>
    </row>
    <row r="9" ht="20" customHeight="1">
      <c r="A9" s="5" t="inlineStr">
        <is>
          <t>Industrial IoT</t>
        </is>
      </c>
      <c r="B9" s="6" t="n">
        <v>2050</v>
      </c>
      <c r="C9" s="6" t="n">
        <v>2280</v>
      </c>
      <c r="D9" s="6" t="n">
        <v>1040</v>
      </c>
      <c r="E9" s="7" t="n">
        <v>54.4</v>
      </c>
      <c r="F9" s="7" t="n">
        <v>11.2</v>
      </c>
    </row>
    <row r="10" ht="20" customHeight="1">
      <c r="A10" s="2" t="inlineStr">
        <is>
          <t>Consumer Devices</t>
        </is>
      </c>
      <c r="B10" s="3" t="n">
        <v>1250</v>
      </c>
      <c r="C10" s="3" t="n">
        <v>1310</v>
      </c>
      <c r="D10" s="3" t="n">
        <v>710</v>
      </c>
      <c r="E10" s="4" t="n">
        <v>45.8</v>
      </c>
      <c r="F10" s="4" t="n">
        <v>4.8</v>
      </c>
    </row>
    <row r="11" ht="20" customHeight="1">
      <c r="A11" s="5" t="inlineStr">
        <is>
          <t>Total / Summary</t>
        </is>
      </c>
      <c r="B11" s="6" t="n">
        <v>23430</v>
      </c>
      <c r="C11" s="6" t="n">
        <v>25630</v>
      </c>
      <c r="D11" s="6" t="n">
        <v>11990</v>
      </c>
      <c r="E11" s="7" t="n">
        <v>5280</v>
      </c>
      <c r="F11" s="7" t="n">
        <v>952</v>
      </c>
    </row>
    <row r="12" ht="22" customHeight="1">
      <c r="A12" s="8" t="inlineStr">
        <is>
          <t>Total / Summary</t>
        </is>
      </c>
      <c r="B12" s="9">
        <f>SUM(B2:B11)</f>
        <v/>
      </c>
      <c r="C12" s="9">
        <f>SUM(C2:C11)</f>
        <v/>
      </c>
      <c r="D12" s="9">
        <f>SUM(D2:D11)</f>
        <v/>
      </c>
      <c r="E12" s="10">
        <f>SUM(E2:E11)</f>
        <v/>
      </c>
      <c r="F12" s="10">
        <f>SUM(F2:F11)</f>
        <v/>
      </c>
    </row>
  </sheetData>
  <autoFilter ref="A1:F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2026-09-21T20:25:54Z</dcterms:created>
  <dcterms:modified xmlns:dcterms="http://purl.org/dc/terms/" xmlns:xsi="http://www.w3.org/2001/XMLSchema-instance" xsi:type="dcterms:W3CDTF">2026-09-21T20:25:54Z</dcterms:modified>
</cp:coreProperties>
</file>