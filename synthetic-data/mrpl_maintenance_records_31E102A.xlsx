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tenance_Reco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<sst xmlns="http://schemas.openxmlformats.org/spreadsheetml/2006/main" count="156" uniqueCount="98">
  <si>
    <t xml:space="preserve">Work Order</t>
  </si>
  <si>
    <t xml:space="preserve">Date</t>
  </si>
  <si>
    <t xml:space="preserve">Type</t>
  </si>
  <si>
    <t xml:space="preserve">Description</t>
  </si>
  <si>
    <t xml:space="preserve">Findings / Result</t>
  </si>
  <si>
    <t xml:space="preserve">Tubes Plugged / Action</t>
  </si>
  <si>
    <t xml:space="preserve">Cumulative Plugged Tubes (after job)</t>
  </si>
  <si>
    <t xml:space="preserve">Performed By</t>
  </si>
  <si>
    <t xml:space="preserve">Status</t>
  </si>
  <si>
    <t xml:space="preserve">Downtime (hours)</t>
  </si>
  <si>
    <t xml:space="preserve">Cost (INR lakh)</t>
  </si>
  <si>
    <t xml:space="preserve">Follow-up</t>
  </si>
  <si>
    <t xml:space="preserve">WO-2015-0311</t>
  </si>
  <si>
    <t xml:space="preserve">Commissioning</t>
  </si>
  <si>
    <t xml:space="preserve">Baseline thickness survey and hydrotest at commissioning</t>
  </si>
  <si>
    <t xml:space="preserve">Baseline readings taken; hydrotest OK</t>
  </si>
  <si>
    <t xml:space="preserve">None</t>
  </si>
  <si>
    <t xml:space="preserve">In-house</t>
  </si>
  <si>
    <t xml:space="preserve">Completed</t>
  </si>
  <si>
    <t xml:space="preserve">WO-2016-0308</t>
  </si>
  <si>
    <t xml:space="preserve">Preventive</t>
  </si>
  <si>
    <t xml:space="preserve">Annual cleaning during short shutdown</t>
  </si>
  <si>
    <t xml:space="preserve">Bundle hydrojetted; light fouling found</t>
  </si>
  <si>
    <t xml:space="preserve">Contractor</t>
  </si>
  <si>
    <t xml:space="preserve">WO-2017-0310</t>
  </si>
  <si>
    <t xml:space="preserve">Annual cleaning</t>
  </si>
  <si>
    <t xml:space="preserve">Bundle hydrojetted; moderate shell-side fouling</t>
  </si>
  <si>
    <t xml:space="preserve">Consider additional online cleaning</t>
  </si>
  <si>
    <t xml:space="preserve">WO-2019-0318</t>
  </si>
  <si>
    <t xml:space="preserve">Turnaround</t>
  </si>
  <si>
    <t xml:space="preserve">Full bundle pull, hydrojetting, ECT, hydrotest; pass partition gasket replaced</t>
  </si>
  <si>
    <t xml:space="preserve">No tubes plugged; min wall 2.45 mm</t>
  </si>
  <si>
    <t xml:space="preserve">Contractor + in-house</t>
  </si>
  <si>
    <t xml:space="preserve">Inspect rows 1-4 at each opportunity</t>
  </si>
  <si>
    <t xml:space="preserve">WO-2021-0517</t>
  </si>
  <si>
    <t xml:space="preserve">Corrective</t>
  </si>
  <si>
    <t xml:space="preserve">Channel-side gasket weep after start-up following minor trip</t>
  </si>
  <si>
    <t xml:space="preserve">Channel gasket renewed; no tube damage</t>
  </si>
  <si>
    <t xml:space="preserve">WO-2022-0826</t>
  </si>
  <si>
    <t xml:space="preserve">Minor external leak at shell flange</t>
  </si>
  <si>
    <t xml:space="preserve">Studs re-torqued, gasket replaced online</t>
  </si>
  <si>
    <t xml:space="preserve">WO-2023-1109</t>
  </si>
  <si>
    <t xml:space="preserve">Inspection / repair</t>
  </si>
  <si>
    <t xml:space="preserve">Opportunity shutdown: partial pull, 100 % ECT, plugging, hydrojetting, gasket</t>
  </si>
  <si>
    <t xml:space="preserve">4 tubes plugged; under-deposit corrosion rows 1-3</t>
  </si>
  <si>
    <t xml:space="preserve">Plugged 4 tubes</t>
  </si>
  <si>
    <t xml:space="preserve">Monitor rows 1-4; consider spare bundle if loss rate rises</t>
  </si>
  <si>
    <t xml:space="preserve">WO-2024-0227</t>
  </si>
  <si>
    <t xml:space="preserve">Floating head cover gasket renewed during short outage</t>
  </si>
  <si>
    <t xml:space="preserve">No leakage after restart</t>
  </si>
  <si>
    <t xml:space="preserve">WO-2025-0414</t>
  </si>
  <si>
    <t xml:space="preserve">Planned 10-day shutdown: ECT, hydrojetting, plugging, pass partition gasket replaced</t>
  </si>
  <si>
    <t xml:space="preserve">7 tubes plugged; min wall 2.14 mm; tubesheet pitting 0.4 mm</t>
  </si>
  <si>
    <t xml:space="preserve">Plugged 7 tubes</t>
  </si>
  <si>
    <t xml:space="preserve">Replace bundle at Feb 2027 turnaround; order spare</t>
  </si>
  <si>
    <t xml:space="preserve">WO-2025-0614</t>
  </si>
  <si>
    <t xml:space="preserve">Emergency corrective</t>
  </si>
  <si>
    <t xml:space="preserve">Emergency shutdown after off-spec diesel; shell-side hydrotest, leak location, tube plugging, gasket renewed</t>
  </si>
  <si>
    <t xml:space="preserve">14 leaking tubes found in rows 1-4; plugged</t>
  </si>
  <si>
    <t xml:space="preserve">Plugged 14 tubes</t>
  </si>
  <si>
    <t xml:space="preserve">Bundle replacement urgent; quarterly ECT screening</t>
  </si>
  <si>
    <t xml:space="preserve">WO-2025-0915</t>
  </si>
  <si>
    <t xml:space="preserve">Condition monitoring</t>
  </si>
  <si>
    <t xml:space="preserve">Thermography and DP trend review; quarterly ECT screening (rows 1-6)</t>
  </si>
  <si>
    <t xml:space="preserve">No new leak indicated; readings stable</t>
  </si>
  <si>
    <t xml:space="preserve">Continue quarterly</t>
  </si>
  <si>
    <t xml:space="preserve">WO-2025-1215</t>
  </si>
  <si>
    <t xml:space="preserve">Quarterly ECT screening (rows 1-6)</t>
  </si>
  <si>
    <t xml:space="preserve">Stable</t>
  </si>
  <si>
    <t xml:space="preserve">WO-2026-0213</t>
  </si>
  <si>
    <t xml:space="preserve">Calibration of DP transmitters and product sulphur correlation alarm test</t>
  </si>
  <si>
    <t xml:space="preserve">Completed; alarm functional</t>
  </si>
  <si>
    <t xml:space="preserve">Instrumentation</t>
  </si>
  <si>
    <t xml:space="preserve">WO-2026-0316</t>
  </si>
  <si>
    <t xml:space="preserve">WO-2026-0528</t>
  </si>
  <si>
    <t xml:space="preserve">Receipt</t>
  </si>
  <si>
    <t xml:space="preserve">Receipt inspection of new tube bundle at stores (Tender 0412); nitrogen purge verified</t>
  </si>
  <si>
    <t xml:space="preserve">Accepted with minor packing damage noted</t>
  </si>
  <si>
    <t xml:space="preserve">Stores + Inspection</t>
  </si>
  <si>
    <t xml:space="preserve">Six-monthly storage inspection due Nov 2026</t>
  </si>
  <si>
    <t xml:space="preserve">WO-2026-0618</t>
  </si>
  <si>
    <t xml:space="preserve">Stable; no new plugging required</t>
  </si>
  <si>
    <t xml:space="preserve">Next round due Sep 2026</t>
  </si>
  <si>
    <t xml:space="preserve">WO-2027-0201</t>
  </si>
  <si>
    <t xml:space="preserve">Planned replacement</t>
  </si>
  <si>
    <t xml:space="preserve">Install new tube bundle in DHDT shutdown (planned)</t>
  </si>
  <si>
    <t xml:space="preserve">Not yet executed</t>
  </si>
  <si>
    <t xml:space="preserve">Replace bundle</t>
  </si>
  <si>
    <t xml:space="preserve">Planned</t>
  </si>
  <si>
    <t xml:space="preserve">Approval of shutdown window pending</t>
  </si>
  <si>
    <t xml:space="preserve">Summary</t>
  </si>
  <si>
    <t xml:space="preserve">Completed work orders</t>
  </si>
  <si>
    <t xml:space="preserve">Total downtime, completed jobs (hours)</t>
  </si>
  <si>
    <t xml:space="preserve">Total cost, completed jobs (INR lakh)</t>
  </si>
  <si>
    <t xml:space="preserve">Corrective + emergency jobs</t>
  </si>
  <si>
    <t xml:space="preserve">Latest cumulative plugged tubes (completed jobs, from WO-2026-0618)</t>
  </si>
  <si>
    <t xml:space="preserve">Plugged share of 640 tubes</t>
  </si>
  <si>
    <t xml:space="preserve">SYNTHETIC / DUMMY DATA. MRPL used as demo setting only. The last row is a planned, not completed, job. Costs are illustrative.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</si>
</sst>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4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42083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0</v>
      </c>
      <c r="H2" s="2" t="s">
        <v>17</v>
      </c>
      <c r="I2" s="2" t="s">
        <v>18</v>
      </c>
      <c r="J2" s="2" t="n">
        <v>0</v>
      </c>
      <c r="K2" s="2" t="n">
        <v>0</v>
      </c>
      <c r="L2" s="2" t="s">
        <v>16</v>
      </c>
    </row>
    <row r="3" customFormat="false" ht="15" hidden="false" customHeight="false" outlineLevel="0" collapsed="false">
      <c r="A3" s="2" t="s">
        <v>19</v>
      </c>
      <c r="B3" s="3" t="n">
        <v>42441</v>
      </c>
      <c r="C3" s="2" t="s">
        <v>20</v>
      </c>
      <c r="D3" s="2" t="s">
        <v>21</v>
      </c>
      <c r="E3" s="2" t="s">
        <v>22</v>
      </c>
      <c r="F3" s="2" t="s">
        <v>16</v>
      </c>
      <c r="G3" s="2" t="n">
        <v>0</v>
      </c>
      <c r="H3" s="2" t="s">
        <v>23</v>
      </c>
      <c r="I3" s="2" t="s">
        <v>18</v>
      </c>
      <c r="J3" s="2" t="n">
        <v>72</v>
      </c>
      <c r="K3" s="2" t="n">
        <v>3.2</v>
      </c>
      <c r="L3" s="2" t="s">
        <v>16</v>
      </c>
    </row>
    <row r="4" customFormat="false" ht="15" hidden="false" customHeight="false" outlineLevel="0" collapsed="false">
      <c r="A4" s="2" t="s">
        <v>24</v>
      </c>
      <c r="B4" s="3" t="n">
        <v>42808</v>
      </c>
      <c r="C4" s="2" t="s">
        <v>20</v>
      </c>
      <c r="D4" s="2" t="s">
        <v>25</v>
      </c>
      <c r="E4" s="2" t="s">
        <v>26</v>
      </c>
      <c r="F4" s="2" t="s">
        <v>16</v>
      </c>
      <c r="G4" s="2" t="n">
        <v>0</v>
      </c>
      <c r="H4" s="2" t="s">
        <v>23</v>
      </c>
      <c r="I4" s="2" t="s">
        <v>18</v>
      </c>
      <c r="J4" s="2" t="n">
        <v>84</v>
      </c>
      <c r="K4" s="2" t="n">
        <v>3.6</v>
      </c>
      <c r="L4" s="2" t="s">
        <v>27</v>
      </c>
    </row>
    <row r="5" customFormat="false" ht="23.85" hidden="false" customHeight="false" outlineLevel="0" collapsed="false">
      <c r="A5" s="2" t="s">
        <v>28</v>
      </c>
      <c r="B5" s="3" t="n">
        <v>43542</v>
      </c>
      <c r="C5" s="2" t="s">
        <v>29</v>
      </c>
      <c r="D5" s="2" t="s">
        <v>30</v>
      </c>
      <c r="E5" s="2" t="s">
        <v>31</v>
      </c>
      <c r="F5" s="2" t="s">
        <v>16</v>
      </c>
      <c r="G5" s="2" t="n">
        <v>0</v>
      </c>
      <c r="H5" s="2" t="s">
        <v>32</v>
      </c>
      <c r="I5" s="2" t="s">
        <v>18</v>
      </c>
      <c r="J5" s="2" t="n">
        <v>336</v>
      </c>
      <c r="K5" s="2" t="n">
        <v>42</v>
      </c>
      <c r="L5" s="2" t="s">
        <v>33</v>
      </c>
    </row>
    <row r="6" customFormat="false" ht="15" hidden="false" customHeight="false" outlineLevel="0" collapsed="false">
      <c r="A6" s="2" t="s">
        <v>34</v>
      </c>
      <c r="B6" s="3" t="n">
        <v>44333</v>
      </c>
      <c r="C6" s="2" t="s">
        <v>35</v>
      </c>
      <c r="D6" s="2" t="s">
        <v>36</v>
      </c>
      <c r="E6" s="2" t="s">
        <v>37</v>
      </c>
      <c r="F6" s="2" t="s">
        <v>16</v>
      </c>
      <c r="G6" s="2" t="n">
        <v>0</v>
      </c>
      <c r="H6" s="2" t="s">
        <v>17</v>
      </c>
      <c r="I6" s="2" t="s">
        <v>18</v>
      </c>
      <c r="J6" s="2" t="n">
        <v>30</v>
      </c>
      <c r="K6" s="2" t="n">
        <v>1.1</v>
      </c>
      <c r="L6" s="2" t="s">
        <v>16</v>
      </c>
    </row>
    <row r="7" customFormat="false" ht="15" hidden="false" customHeight="false" outlineLevel="0" collapsed="false">
      <c r="A7" s="2" t="s">
        <v>38</v>
      </c>
      <c r="B7" s="3" t="n">
        <v>44799</v>
      </c>
      <c r="C7" s="2" t="s">
        <v>35</v>
      </c>
      <c r="D7" s="2" t="s">
        <v>39</v>
      </c>
      <c r="E7" s="2" t="s">
        <v>40</v>
      </c>
      <c r="F7" s="2" t="s">
        <v>16</v>
      </c>
      <c r="G7" s="2" t="n">
        <v>0</v>
      </c>
      <c r="H7" s="2" t="s">
        <v>17</v>
      </c>
      <c r="I7" s="2" t="s">
        <v>18</v>
      </c>
      <c r="J7" s="2" t="n">
        <v>0</v>
      </c>
      <c r="K7" s="2" t="n">
        <v>0.4</v>
      </c>
      <c r="L7" s="2" t="s">
        <v>16</v>
      </c>
    </row>
    <row r="8" customFormat="false" ht="23.85" hidden="false" customHeight="false" outlineLevel="0" collapsed="false">
      <c r="A8" s="2" t="s">
        <v>41</v>
      </c>
      <c r="B8" s="3" t="n">
        <v>45239</v>
      </c>
      <c r="C8" s="2" t="s">
        <v>42</v>
      </c>
      <c r="D8" s="2" t="s">
        <v>43</v>
      </c>
      <c r="E8" s="2" t="s">
        <v>44</v>
      </c>
      <c r="F8" s="2" t="s">
        <v>45</v>
      </c>
      <c r="G8" s="2" t="n">
        <v>4</v>
      </c>
      <c r="H8" s="2" t="s">
        <v>32</v>
      </c>
      <c r="I8" s="2" t="s">
        <v>18</v>
      </c>
      <c r="J8" s="2" t="n">
        <v>192</v>
      </c>
      <c r="K8" s="2" t="n">
        <v>18.5</v>
      </c>
      <c r="L8" s="2" t="s">
        <v>46</v>
      </c>
    </row>
    <row r="9" customFormat="false" ht="15" hidden="false" customHeight="false" outlineLevel="0" collapsed="false">
      <c r="A9" s="2" t="s">
        <v>47</v>
      </c>
      <c r="B9" s="3" t="n">
        <v>45349</v>
      </c>
      <c r="C9" s="2" t="s">
        <v>35</v>
      </c>
      <c r="D9" s="2" t="s">
        <v>48</v>
      </c>
      <c r="E9" s="2" t="s">
        <v>49</v>
      </c>
      <c r="F9" s="2" t="s">
        <v>16</v>
      </c>
      <c r="G9" s="2" t="n">
        <v>4</v>
      </c>
      <c r="H9" s="2" t="s">
        <v>17</v>
      </c>
      <c r="I9" s="2" t="s">
        <v>18</v>
      </c>
      <c r="J9" s="2" t="n">
        <v>36</v>
      </c>
      <c r="K9" s="2" t="n">
        <v>2</v>
      </c>
      <c r="L9" s="2" t="s">
        <v>16</v>
      </c>
    </row>
    <row r="10" customFormat="false" ht="23.85" hidden="false" customHeight="false" outlineLevel="0" collapsed="false">
      <c r="A10" s="2" t="s">
        <v>50</v>
      </c>
      <c r="B10" s="3" t="n">
        <v>45761</v>
      </c>
      <c r="C10" s="2" t="s">
        <v>42</v>
      </c>
      <c r="D10" s="2" t="s">
        <v>51</v>
      </c>
      <c r="E10" s="2" t="s">
        <v>52</v>
      </c>
      <c r="F10" s="2" t="s">
        <v>53</v>
      </c>
      <c r="G10" s="2" t="n">
        <v>11</v>
      </c>
      <c r="H10" s="2" t="s">
        <v>32</v>
      </c>
      <c r="I10" s="2" t="s">
        <v>18</v>
      </c>
      <c r="J10" s="2" t="n">
        <v>240</v>
      </c>
      <c r="K10" s="2" t="n">
        <v>24</v>
      </c>
      <c r="L10" s="2" t="s">
        <v>54</v>
      </c>
    </row>
    <row r="11" customFormat="false" ht="23.85" hidden="false" customHeight="false" outlineLevel="0" collapsed="false">
      <c r="A11" s="2" t="s">
        <v>55</v>
      </c>
      <c r="B11" s="3" t="n">
        <v>45822</v>
      </c>
      <c r="C11" s="2" t="s">
        <v>56</v>
      </c>
      <c r="D11" s="2" t="s">
        <v>57</v>
      </c>
      <c r="E11" s="2" t="s">
        <v>58</v>
      </c>
      <c r="F11" s="2" t="s">
        <v>59</v>
      </c>
      <c r="G11" s="2" t="n">
        <v>25</v>
      </c>
      <c r="H11" s="2" t="s">
        <v>32</v>
      </c>
      <c r="I11" s="2" t="s">
        <v>18</v>
      </c>
      <c r="J11" s="2" t="n">
        <v>144</v>
      </c>
      <c r="K11" s="2" t="n">
        <v>31.5</v>
      </c>
      <c r="L11" s="2" t="s">
        <v>60</v>
      </c>
    </row>
    <row r="12" customFormat="false" ht="23.85" hidden="false" customHeight="false" outlineLevel="0" collapsed="false">
      <c r="A12" s="2" t="s">
        <v>61</v>
      </c>
      <c r="B12" s="3" t="n">
        <v>45915</v>
      </c>
      <c r="C12" s="2" t="s">
        <v>62</v>
      </c>
      <c r="D12" s="2" t="s">
        <v>63</v>
      </c>
      <c r="E12" s="2" t="s">
        <v>64</v>
      </c>
      <c r="F12" s="2" t="s">
        <v>16</v>
      </c>
      <c r="G12" s="2" t="n">
        <v>25</v>
      </c>
      <c r="H12" s="2" t="s">
        <v>17</v>
      </c>
      <c r="I12" s="2" t="s">
        <v>18</v>
      </c>
      <c r="J12" s="2" t="n">
        <v>0</v>
      </c>
      <c r="K12" s="2" t="n">
        <v>0.6</v>
      </c>
      <c r="L12" s="2" t="s">
        <v>65</v>
      </c>
    </row>
    <row r="13" customFormat="false" ht="15" hidden="false" customHeight="false" outlineLevel="0" collapsed="false">
      <c r="A13" s="2" t="s">
        <v>66</v>
      </c>
      <c r="B13" s="3" t="n">
        <v>46006</v>
      </c>
      <c r="C13" s="2" t="s">
        <v>62</v>
      </c>
      <c r="D13" s="2" t="s">
        <v>67</v>
      </c>
      <c r="E13" s="2" t="s">
        <v>68</v>
      </c>
      <c r="F13" s="2" t="s">
        <v>16</v>
      </c>
      <c r="G13" s="2" t="n">
        <v>25</v>
      </c>
      <c r="H13" s="2" t="s">
        <v>17</v>
      </c>
      <c r="I13" s="2" t="s">
        <v>18</v>
      </c>
      <c r="J13" s="2" t="n">
        <v>0</v>
      </c>
      <c r="K13" s="2" t="n">
        <v>0.6</v>
      </c>
      <c r="L13" s="2" t="s">
        <v>65</v>
      </c>
    </row>
    <row r="14" customFormat="false" ht="23.85" hidden="false" customHeight="false" outlineLevel="0" collapsed="false">
      <c r="A14" s="2" t="s">
        <v>69</v>
      </c>
      <c r="B14" s="3" t="n">
        <v>46066</v>
      </c>
      <c r="C14" s="2" t="s">
        <v>20</v>
      </c>
      <c r="D14" s="2" t="s">
        <v>70</v>
      </c>
      <c r="E14" s="2" t="s">
        <v>71</v>
      </c>
      <c r="F14" s="2" t="s">
        <v>16</v>
      </c>
      <c r="G14" s="2" t="n">
        <v>25</v>
      </c>
      <c r="H14" s="2" t="s">
        <v>72</v>
      </c>
      <c r="I14" s="2" t="s">
        <v>18</v>
      </c>
      <c r="J14" s="2" t="n">
        <v>0</v>
      </c>
      <c r="K14" s="2" t="n">
        <v>0.3</v>
      </c>
      <c r="L14" s="2" t="s">
        <v>16</v>
      </c>
    </row>
    <row r="15" customFormat="false" ht="15" hidden="false" customHeight="false" outlineLevel="0" collapsed="false">
      <c r="A15" s="2" t="s">
        <v>73</v>
      </c>
      <c r="B15" s="3" t="n">
        <v>46097</v>
      </c>
      <c r="C15" s="2" t="s">
        <v>62</v>
      </c>
      <c r="D15" s="2" t="s">
        <v>67</v>
      </c>
      <c r="E15" s="2" t="s">
        <v>68</v>
      </c>
      <c r="F15" s="2" t="s">
        <v>16</v>
      </c>
      <c r="G15" s="2" t="n">
        <v>25</v>
      </c>
      <c r="H15" s="2" t="s">
        <v>17</v>
      </c>
      <c r="I15" s="2" t="s">
        <v>18</v>
      </c>
      <c r="J15" s="2" t="n">
        <v>0</v>
      </c>
      <c r="K15" s="2" t="n">
        <v>0.6</v>
      </c>
      <c r="L15" s="2" t="s">
        <v>65</v>
      </c>
    </row>
    <row r="16" customFormat="false" ht="23.85" hidden="false" customHeight="false" outlineLevel="0" collapsed="false">
      <c r="A16" s="2" t="s">
        <v>74</v>
      </c>
      <c r="B16" s="3" t="n">
        <v>46170</v>
      </c>
      <c r="C16" s="2" t="s">
        <v>75</v>
      </c>
      <c r="D16" s="2" t="s">
        <v>76</v>
      </c>
      <c r="E16" s="2" t="s">
        <v>77</v>
      </c>
      <c r="F16" s="2" t="s">
        <v>16</v>
      </c>
      <c r="G16" s="2" t="n">
        <v>25</v>
      </c>
      <c r="H16" s="2" t="s">
        <v>78</v>
      </c>
      <c r="I16" s="2" t="s">
        <v>18</v>
      </c>
      <c r="J16" s="2" t="n">
        <v>0</v>
      </c>
      <c r="K16" s="2" t="n">
        <v>0.2</v>
      </c>
      <c r="L16" s="2" t="s">
        <v>79</v>
      </c>
    </row>
    <row r="17" customFormat="false" ht="15" hidden="false" customHeight="false" outlineLevel="0" collapsed="false">
      <c r="A17" s="2" t="s">
        <v>80</v>
      </c>
      <c r="B17" s="3" t="n">
        <v>46191</v>
      </c>
      <c r="C17" s="2" t="s">
        <v>62</v>
      </c>
      <c r="D17" s="2" t="s">
        <v>67</v>
      </c>
      <c r="E17" s="2" t="s">
        <v>81</v>
      </c>
      <c r="F17" s="2" t="s">
        <v>16</v>
      </c>
      <c r="G17" s="2" t="n">
        <v>25</v>
      </c>
      <c r="H17" s="2" t="s">
        <v>17</v>
      </c>
      <c r="I17" s="2" t="s">
        <v>18</v>
      </c>
      <c r="J17" s="2" t="n">
        <v>0</v>
      </c>
      <c r="K17" s="2" t="n">
        <v>0.6</v>
      </c>
      <c r="L17" s="2" t="s">
        <v>82</v>
      </c>
    </row>
    <row r="18" customFormat="false" ht="15" hidden="false" customHeight="false" outlineLevel="0" collapsed="false">
      <c r="A18" s="2" t="s">
        <v>83</v>
      </c>
      <c r="B18" s="3" t="n">
        <v>46419</v>
      </c>
      <c r="C18" s="2" t="s">
        <v>84</v>
      </c>
      <c r="D18" s="2" t="s">
        <v>85</v>
      </c>
      <c r="E18" s="2" t="s">
        <v>86</v>
      </c>
      <c r="F18" s="2" t="s">
        <v>87</v>
      </c>
      <c r="G18" s="2" t="n">
        <v>0</v>
      </c>
      <c r="H18" s="2" t="s">
        <v>32</v>
      </c>
      <c r="I18" s="2" t="s">
        <v>88</v>
      </c>
      <c r="J18" s="2" t="n">
        <v>0</v>
      </c>
      <c r="K18" s="2" t="n">
        <v>0</v>
      </c>
      <c r="L18" s="2" t="s">
        <v>89</v>
      </c>
    </row>
    <row r="20" customFormat="false" ht="15" hidden="false" customHeight="false" outlineLevel="0" collapsed="false">
      <c r="A20" s="4" t="s">
        <v>90</v>
      </c>
    </row>
    <row r="21" customFormat="false" ht="15" hidden="false" customHeight="false" outlineLevel="0" collapsed="false">
      <c r="A21" s="5" t="s">
        <v>91</v>
      </c>
      <c r="B21" s="5" t="n">
        <f aca="false">COUNTIF(I2:I18,"Completed")</f>
        <v>16</v>
      </c>
    </row>
    <row r="22" customFormat="false" ht="15" hidden="false" customHeight="false" outlineLevel="0" collapsed="false">
      <c r="A22" s="5" t="s">
        <v>92</v>
      </c>
      <c r="B22" s="5" t="n">
        <f aca="false">SUMIF(I2:I18,"Completed",J2:J18)</f>
        <v>1134</v>
      </c>
    </row>
    <row r="23" customFormat="false" ht="15" hidden="false" customHeight="false" outlineLevel="0" collapsed="false">
      <c r="A23" s="5" t="s">
        <v>93</v>
      </c>
      <c r="B23" s="5" t="n">
        <f aca="false">SUMIF(I2:I18,"Completed",K2:K18)</f>
        <v>129.2</v>
      </c>
    </row>
    <row r="24" customFormat="false" ht="15" hidden="false" customHeight="false" outlineLevel="0" collapsed="false">
      <c r="A24" s="5" t="s">
        <v>94</v>
      </c>
      <c r="B24" s="5" t="n">
        <f aca="false">COUNTIF(C2:C18,"Corrective")+COUNTIF(C2:C18,"Emergency corrective")</f>
        <v>4</v>
      </c>
    </row>
    <row r="25" customFormat="false" ht="15" hidden="false" customHeight="false" outlineLevel="0" collapsed="false">
      <c r="A25" s="5" t="s">
        <v>95</v>
      </c>
      <c r="B25" s="5" t="n">
        <f aca="false">INDEX(G2:G18,MATCH("WO-2026-0618",A2:A18,0))</f>
        <v>25</v>
      </c>
    </row>
    <row r="26" customFormat="false" ht="15" hidden="false" customHeight="false" outlineLevel="0" collapsed="false">
      <c r="A26" s="5" t="s">
        <v>96</v>
      </c>
      <c r="B26" s="6" t="n">
        <f aca="false">B25/640</f>
        <v>0.0390625</v>
      </c>
    </row>
    <row r="28" customFormat="false" ht="15" hidden="false" customHeight="false" outlineLevel="0" collapsed="false">
      <c r="A28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2026-09-20T18:30:35Z</dcterms:created>
  <dc:creator>openpyxl</dc:creator>
  <dc:description/>
  <dc:language>en-US</dc:language>
  <cp:lastModifiedBy/>
  <dcterms:modified xsi:type="dcterms:W3CDTF">2026-09-20T18:30:35Z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