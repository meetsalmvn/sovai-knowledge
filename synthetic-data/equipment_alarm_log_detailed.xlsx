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b0948860d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34e8f0c67642b2"/>
    <x:sheet xmlns:r="http://schemas.openxmlformats.org/officeDocument/2006/relationships" name="Alarm Log" sheetId="2" r:id="Rdb0bdca575264ca6"/>
    <x:sheet xmlns:r="http://schemas.openxmlformats.org/officeDocument/2006/relationships" name="RAG Guide" sheetId="3" r:id="R4cea1917637d44fb"/>
    <x:sheet xmlns:r="http://schemas.openxmlformats.org/officeDocument/2006/relationships" name="Detailed Event Log" sheetId="4" r:id="R951c4217c9224790"/>
    <x:sheet xmlns:r="http://schemas.openxmlformats.org/officeDocument/2006/relationships" name="Event Taxonomy" sheetId="5" r:id="R700481e93d1940d2"/>
    <x:sheet xmlns:r="http://schemas.openxmlformats.org/officeDocument/2006/relationships" name="Event Trend" sheetId="6" r:id="R1fe0a70a0b9c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334155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EEF7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836c1fe63447b" /><Relationship Type="http://schemas.openxmlformats.org/officeDocument/2006/relationships/theme" Target="/xl/theme/theme1.xml" Id="R7bed8eae9c484641" /><Relationship Type="http://schemas.openxmlformats.org/officeDocument/2006/relationships/sharedStrings" Target="/xl/sharedStrings.xml" Id="Rde4cd38345214581" /><Relationship Type="http://schemas.openxmlformats.org/officeDocument/2006/relationships/worksheet" Target="/xl/worksheets/sheet1.xml" Id="Rb634e8f0c67642b2" /><Relationship Type="http://schemas.openxmlformats.org/officeDocument/2006/relationships/worksheet" Target="/xl/worksheets/sheet2.xml" Id="Rdb0bdca575264ca6" /><Relationship Type="http://schemas.openxmlformats.org/officeDocument/2006/relationships/worksheet" Target="/xl/worksheets/sheet3.xml" Id="R4cea1917637d44fb" /><Relationship Type="http://schemas.openxmlformats.org/officeDocument/2006/relationships/worksheet" Target="/xl/worksheets/sheet4.xml" Id="R951c4217c9224790" /><Relationship Type="http://schemas.openxmlformats.org/officeDocument/2006/relationships/worksheet" Target="/xl/worksheets/sheet5.xml" Id="R700481e93d1940d2" /><Relationship Type="http://schemas.openxmlformats.org/officeDocument/2006/relationships/worksheet" Target="/xl/worksheets/sheet6.xml" Id="R1fe0a70a0b9c43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6619284a5c4c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Recorded Event Types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'Event Trend'!$D$4:$D$8</c:f>
              <c:strCache>
                <c:ptCount val="0"/>
              </c:strCache>
            </c:strRef>
          </c:cat>
          <c:val>
            <c:numRef>
              <c:f>'Event Trend'!$E$4:$E$8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6619284a5c4c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quipmentAlarmLog" displayName="EquipmentAlarmLog" ref="A1:J9" headerRowCount="1" totalsRowCount="0" totalsRowShown="0">
  <x:tableColumns count="10">
    <x:tableColumn id="1" name="Event ID"/>
    <x:tableColumn id="2" name="Date"/>
    <x:tableColumn id="3" name="Time"/>
    <x:tableColumn id="4" name="Equipment"/>
    <x:tableColumn id="5" name="Event / Observation"/>
    <x:tableColumn id="6" name="Classification"/>
    <x:tableColumn id="7" name="Status"/>
    <x:tableColumn id="8" name="Required Follow-up"/>
    <x:tableColumn id="9" name="Source Record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b9b1007faf4e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cdef45371ca4acb" /></Relationships>
</file>

<file path=xl/worksheets/sheet1.xml><?xml version="1.0" encoding="utf-8"?>
<x:worksheet xmlns:x="http://schemas.openxmlformats.org/spreadsheetml/2006/main">
  <x:sheetFormatPr defaultRowHeight="15"/>
  <x:sheetData>
    <x:row r="1" ht="22" customHeight="1">
      <x:c r="A1" s="5" t="str">
        <x:v>P-204A — Equipment Alarm &amp; Event Log</x:v>
      </x:c>
    </x:row>
    <x:row r="2" ht="22" customHeight="1">
      <x:c r="A2" s="14" t="str">
        <x:v>SYNTHETIC DEMO DATA — created for the SovAI prototype; not an actual MRPL plant record</x:v>
      </x:c>
    </x:row>
    <x:row r="3" ht="22" customHeight="1"/>
    <x:row r="4" ht="22" customHeight="1">
      <x:c r="A4" s="22" t="str">
        <x:v>KPI</x:v>
      </x:c>
      <x:c r="B4" s="22" t="str">
        <x:v>Value</x:v>
      </x:c>
      <x:c r="D4" s="31" t="str">
        <x:v>Demo interpretation</x:v>
      </x:c>
      <x:c r="H4" s="22" t="str">
        <x:v>Detailed KPI</x:v>
      </x:c>
      <x:c r="I4" s="22" t="str">
        <x:v>Value</x:v>
      </x:c>
    </x:row>
    <x:row r="5" ht="22" customHeight="1">
      <x:c r="A5" s="26" t="str">
        <x:v>Total recorded events</x:v>
      </x:c>
      <x:c r="B5" s="28" t="n">
        <x:f>COUNTA('Alarm Log'!A2:A100)</x:f>
        <x:v>8</x:v>
      </x:c>
      <x:c r="D5" s="38" t="str">
        <x:v>This workbook records equipment observations and events that SovAI can retrieve alongside the maintenance history, maintenance procedure, and safety/LOTO procedure. It intentionally avoids invented sensor numbers or site-specific alarm thresholds.</x:v>
      </x:c>
      <x:c r="E5" s="38"/>
      <x:c r="F5" s="38"/>
      <x:c r="G5" s="38"/>
      <x:c r="H5" s="89" t="str">
        <x:v>Recorded events</x:v>
      </x:c>
      <x:c r="I5" s="28" t="n">
        <x:f>COUNTA('Detailed Event Log'!A2:A100)</x:f>
        <x:v>15</x:v>
      </x:c>
    </x:row>
    <x:row r="6" ht="22" customHeight="1">
      <x:c r="A6" s="26" t="str">
        <x:v>Follow-up events</x:v>
      </x:c>
      <x:c r="B6" s="28" t="n">
        <x:f>COUNTIF('Alarm Log'!F2:F100,"Follow-up")</x:f>
        <x:v>5</x:v>
      </x:c>
      <x:c r="D6" s="38"/>
      <x:c r="E6" s="38"/>
      <x:c r="F6" s="38"/>
      <x:c r="G6" s="38"/>
      <x:c r="H6" s="89" t="str">
        <x:v>Open events</x:v>
      </x:c>
      <x:c r="I6" s="28" t="n">
        <x:f>COUNTIF('Detailed Event Log'!O2:O100,"Open")</x:f>
        <x:v>10</x:v>
      </x:c>
    </x:row>
    <x:row r="7" ht="22" customHeight="1">
      <x:c r="A7" s="26" t="str">
        <x:v>Normal / informational events</x:v>
      </x:c>
      <x:c r="B7" s="28" t="n">
        <x:f>COUNTIF('Alarm Log'!F2:F100,"Informational")</x:f>
        <x:v>3</x:v>
      </x:c>
      <x:c r="D7" s="38"/>
      <x:c r="E7" s="38"/>
      <x:c r="F7" s="38"/>
      <x:c r="G7" s="38"/>
      <x:c r="H7" s="89" t="str">
        <x:v>High/Critical priority</x:v>
      </x:c>
      <x:c r="I7" s="28" t="n">
        <x:f>COUNTIF('Detailed Event Log'!G2:G100,"High")+COUNTIF('Detailed Event Log'!G2:G100,"Critical")</x:f>
        <x:v>6</x:v>
      </x:c>
    </x:row>
    <x:row r="8" ht="22" customHeight="1">
      <x:c r="A8" s="26" t="str">
        <x:v>Primary equipment</x:v>
      </x:c>
      <x:c r="B8" s="28" t="str">
        <x:v>P-204A</x:v>
      </x:c>
      <x:c r="D8" s="38"/>
      <x:c r="E8" s="38"/>
      <x:c r="F8" s="38"/>
      <x:c r="G8" s="38"/>
      <x:c r="H8" s="89" t="str">
        <x:v>Warning/Control events</x:v>
      </x:c>
      <x:c r="I8" s="28" t="n">
        <x:f>COUNTIF('Detailed Event Log'!H2:H100,"Warning")+COUNTIF('Detailed Event Log'!H2:H100,"Control")</x:f>
        <x:v>10</x:v>
      </x:c>
    </x:row>
    <x:row r="9">
      <x:c r="H9" s="26" t="str">
        <x:v>Monitoring status</x:v>
      </x:c>
      <x:c r="I9" s="28" t="n">
        <x:f>COUNTIF('Detailed Event Log'!O2:O100,"Monitoring")</x:f>
        <x:v>2</x:v>
      </x:c>
    </x:row>
    <x:row r="10">
      <x:c r="A10" s="31" t="str">
        <x:v>Detailed demo coverage</x:v>
      </x:c>
      <x:c r="H10" s="26" t="str">
        <x:v>Closed events</x:v>
      </x:c>
      <x:c r="I10" s="28" t="n">
        <x:f>COUNTIF('Detailed Event Log'!O2:O100,"Closed")</x:f>
        <x:v>3</x:v>
      </x:c>
    </x:row>
    <x:row r="11">
      <x:c r="A11" s="38" t="str">
        <x:v>The detailed event log now links field observations, maintenance coordination, safety dependencies, handover items, status reviews and open actions for the same pump. This allows SovAI to answer cross-document questions and then generate grounded artifacts.</x:v>
      </x:c>
      <x:c r="B11" s="38"/>
      <x:c r="C11" s="38"/>
      <x:c r="D11" s="38"/>
      <x:c r="E11" s="38"/>
      <x:c r="F11" s="38"/>
      <x:c r="H11" s="26" t="str">
        <x:v>Dates covered</x:v>
      </x:c>
      <x:c r="I11" s="28" t="n">
        <x:v>4</x:v>
      </x:c>
    </x:row>
    <x:row r="12">
      <x:c r="A12" s="38"/>
      <x:c r="B12" s="38"/>
      <x:c r="C12" s="38"/>
      <x:c r="D12" s="38"/>
      <x:c r="E12" s="38"/>
      <x:c r="F12" s="38"/>
    </x:row>
    <x:row r="13">
      <x:c r="A13" s="38"/>
      <x:c r="B13" s="38"/>
      <x:c r="C13" s="38"/>
      <x:c r="D13" s="38"/>
      <x:c r="E13" s="38"/>
      <x:c r="F13" s="38"/>
    </x:row>
    <x:row r="14">
      <x:c r="A14" s="38"/>
      <x:c r="B14" s="38"/>
      <x:c r="C14" s="38"/>
      <x:c r="D14" s="38"/>
      <x:c r="E14" s="38"/>
      <x:c r="F14" s="38"/>
    </x:row>
    <x:row r="15">
      <x:c r="A15" s="38"/>
      <x:c r="B15" s="38"/>
      <x:c r="C15" s="38"/>
      <x:c r="D15" s="38"/>
      <x:c r="E15" s="38"/>
      <x:c r="F15" s="38"/>
    </x:row>
    <x:row r="16">
      <x:c r="A16" s="38"/>
      <x:c r="B16" s="38"/>
      <x:c r="C16" s="38"/>
      <x:c r="D16" s="38"/>
      <x:c r="E16" s="38"/>
      <x:c r="F16" s="38"/>
    </x:row>
  </x:sheetData>
  <x:mergeCells>
    <x:mergeCell ref="A1:H1"/>
    <x:mergeCell ref="A2:H2"/>
    <x:mergeCell ref="D4:H4"/>
    <x:mergeCell ref="D5:H8"/>
    <x:mergeCell ref="A10:F10"/>
    <x:mergeCell ref="A11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9" hidden="0" customWidth="1"/>
    <x:col min="4" max="4" width="12" hidden="0" customWidth="1"/>
    <x:col min="5" max="5" width="38" hidden="0" customWidth="1"/>
    <x:col min="6" max="6" width="16" hidden="0" customWidth="1"/>
    <x:col min="7" max="7" width="12" hidden="0" customWidth="1"/>
    <x:col min="8" max="8" width="40" hidden="0" customWidth="1"/>
    <x:col min="9" max="9" width="26" hidden="0" customWidth="1"/>
    <x:col min="10" max="10" width="38" hidden="0" customWidth="1"/>
  </x:cols>
  <x:sheetData>
    <x:row r="1">
      <x:c r="A1" s="47" t="str">
        <x:v>Event ID</x:v>
      </x:c>
      <x:c r="B1" s="47" t="str">
        <x:v>Date</x:v>
      </x:c>
      <x:c r="C1" s="47" t="str">
        <x:v>Time</x:v>
      </x:c>
      <x:c r="D1" s="47" t="str">
        <x:v>Equipment</x:v>
      </x:c>
      <x:c r="E1" s="47" t="str">
        <x:v>Event / Observation</x:v>
      </x:c>
      <x:c r="F1" s="47" t="str">
        <x:v>Classification</x:v>
      </x:c>
      <x:c r="G1" s="47" t="str">
        <x:v>Status</x:v>
      </x:c>
      <x:c r="H1" s="47" t="str">
        <x:v>Required Follow-up</x:v>
      </x:c>
      <x:c r="I1" s="47" t="str">
        <x:v>Source Record</x:v>
      </x:c>
      <x:c r="J1" s="47" t="str">
        <x:v>Notes</x:v>
      </x:c>
    </x:row>
    <x:row r="2">
      <x:c r="A2" s="54" t="str">
        <x:v>EVT-204A-001</x:v>
      </x:c>
      <x:c r="B2" s="57" t="n">
        <x:v>46283</x:v>
      </x:c>
      <x:c r="C2" s="54" t="str">
        <x:v>09:10</x:v>
      </x:c>
      <x:c r="D2" s="54" t="str">
        <x:v>P-204A</x:v>
      </x:c>
      <x:c r="E2" s="54" t="str">
        <x:v>Abnormal vibration observation reported by field operator</x:v>
      </x:c>
      <x:c r="F2" s="54" t="str">
        <x:v>Follow-up</x:v>
      </x:c>
      <x:c r="G2" s="54" t="str">
        <x:v>Open</x:v>
      </x:c>
      <x:c r="H2" s="54" t="str">
        <x:v>Investigate vibration trend and review maintenance history</x:v>
      </x:c>
      <x:c r="I2" s="54" t="str">
        <x:v>Shift Log 2026-09-18</x:v>
      </x:c>
      <x:c r="J2" s="54" t="str">
        <x:v>No numerical vibration value is provided in the demo source.</x:v>
      </x:c>
    </x:row>
    <x:row r="3">
      <x:c r="A3" s="54" t="str">
        <x:v>EVT-204A-002</x:v>
      </x:c>
      <x:c r="B3" s="57" t="n">
        <x:v>46283</x:v>
      </x:c>
      <x:c r="C3" s="54" t="str">
        <x:v>10:45</x:v>
      </x:c>
      <x:c r="D3" s="54" t="str">
        <x:v>P-204A</x:v>
      </x:c>
      <x:c r="E3" s="54" t="str">
        <x:v>Minor mechanical-seal leakage observed</x:v>
      </x:c>
      <x:c r="F3" s="54" t="str">
        <x:v>Follow-up</x:v>
      </x:c>
      <x:c r="G3" s="54" t="str">
        <x:v>Open</x:v>
      </x:c>
      <x:c r="H3" s="54" t="str">
        <x:v>Inspect mechanical seal during authorized maintenance</x:v>
      </x:c>
      <x:c r="I3" s="54" t="str">
        <x:v>Shift Log 2026-09-18</x:v>
      </x:c>
      <x:c r="J3" s="54" t="str">
        <x:v>Observation requires engineering/maintenance assessment.</x:v>
      </x:c>
    </x:row>
    <x:row r="4">
      <x:c r="A4" s="54" t="str">
        <x:v>EVT-204A-003</x:v>
      </x:c>
      <x:c r="B4" s="57" t="n">
        <x:v>46283</x:v>
      </x:c>
      <x:c r="C4" s="54" t="str">
        <x:v>11:30</x:v>
      </x:c>
      <x:c r="D4" s="54" t="str">
        <x:v>P-204A</x:v>
      </x:c>
      <x:c r="E4" s="54" t="str">
        <x:v>Control-room status review completed</x:v>
      </x:c>
      <x:c r="F4" s="54" t="str">
        <x:v>Informational</x:v>
      </x:c>
      <x:c r="G4" s="54" t="str">
        <x:v>Closed</x:v>
      </x:c>
      <x:c r="H4" s="54" t="str">
        <x:v>Continue monitoring</x:v>
      </x:c>
      <x:c r="I4" s="54" t="str">
        <x:v>Shift Log 2026-09-18</x:v>
      </x:c>
      <x:c r="J4" s="54" t="str">
        <x:v>No emergency trip recorded during the shift.</x:v>
      </x:c>
    </x:row>
    <x:row r="5">
      <x:c r="A5" s="54" t="str">
        <x:v>EVT-204A-004</x:v>
      </x:c>
      <x:c r="B5" s="57" t="n">
        <x:v>46282</x:v>
      </x:c>
      <x:c r="C5" s="54" t="str">
        <x:v>08:40</x:v>
      </x:c>
      <x:c r="D5" s="54" t="str">
        <x:v>P-204A</x:v>
      </x:c>
      <x:c r="E5" s="54" t="str">
        <x:v>Vibration trend discussed during maintenance coordination</x:v>
      </x:c>
      <x:c r="F5" s="54" t="str">
        <x:v>Follow-up</x:v>
      </x:c>
      <x:c r="G5" s="54" t="str">
        <x:v>Open</x:v>
      </x:c>
      <x:c r="H5" s="54" t="str">
        <x:v>Inspect coupling and verify alignment</x:v>
      </x:c>
      <x:c r="I5" s="54" t="str">
        <x:v>Maintenance Coordination</x:v>
      </x:c>
      <x:c r="J5" s="54" t="str">
        <x:v>Synthetic coordination record.</x:v>
      </x:c>
    </x:row>
    <x:row r="6">
      <x:c r="A6" s="54" t="str">
        <x:v>EVT-204A-005</x:v>
      </x:c>
      <x:c r="B6" s="57" t="n">
        <x:v>46282</x:v>
      </x:c>
      <x:c r="C6" s="54" t="str">
        <x:v>10:15</x:v>
      </x:c>
      <x:c r="D6" s="54" t="str">
        <x:v>P-204A</x:v>
      </x:c>
      <x:c r="E6" s="54" t="str">
        <x:v>Bearing condition identified for inspection</x:v>
      </x:c>
      <x:c r="F6" s="54" t="str">
        <x:v>Follow-up</x:v>
      </x:c>
      <x:c r="G6" s="54" t="str">
        <x:v>Open</x:v>
      </x:c>
      <x:c r="H6" s="54" t="str">
        <x:v>Inspect bearing condition under approved procedure</x:v>
      </x:c>
      <x:c r="I6" s="54" t="str">
        <x:v>Maintenance Coordination</x:v>
      </x:c>
      <x:c r="J6" s="54" t="str">
        <x:v>No bearing measurement is supplied.</x:v>
      </x:c>
    </x:row>
    <x:row r="7">
      <x:c r="A7" s="54" t="str">
        <x:v>EVT-204A-006</x:v>
      </x:c>
      <x:c r="B7" s="57" t="n">
        <x:v>46281</x:v>
      </x:c>
      <x:c r="C7" s="54" t="str">
        <x:v>14:20</x:v>
      </x:c>
      <x:c r="D7" s="54" t="str">
        <x:v>P-204A</x:v>
      </x:c>
      <x:c r="E7" s="54" t="str">
        <x:v>Previous maintenance findings reviewed</x:v>
      </x:c>
      <x:c r="F7" s="54" t="str">
        <x:v>Informational</x:v>
      </x:c>
      <x:c r="G7" s="54" t="str">
        <x:v>Closed</x:v>
      </x:c>
      <x:c r="H7" s="54" t="str">
        <x:v>Use history when planning corrective work</x:v>
      </x:c>
      <x:c r="I7" s="54" t="str">
        <x:v>Maintenance History</x:v>
      </x:c>
      <x:c r="J7" s="54" t="str">
        <x:v>Cross-reference with pump maintenance history.</x:v>
      </x:c>
    </x:row>
    <x:row r="8">
      <x:c r="A8" s="54" t="str">
        <x:v>EVT-204A-007</x:v>
      </x:c>
      <x:c r="B8" s="57" t="n">
        <x:v>46281</x:v>
      </x:c>
      <x:c r="C8" s="54" t="str">
        <x:v>15:05</x:v>
      </x:c>
      <x:c r="D8" s="54" t="str">
        <x:v>P-204A</x:v>
      </x:c>
      <x:c r="E8" s="54" t="str">
        <x:v>Mechanical-seal follow-up retained as open action</x:v>
      </x:c>
      <x:c r="F8" s="54" t="str">
        <x:v>Follow-up</x:v>
      </x:c>
      <x:c r="G8" s="54" t="str">
        <x:v>Open</x:v>
      </x:c>
      <x:c r="H8" s="54" t="str">
        <x:v>Inspect seal and document findings</x:v>
      </x:c>
      <x:c r="I8" s="54" t="str">
        <x:v>Maintenance History</x:v>
      </x:c>
      <x:c r="J8" s="54" t="str">
        <x:v>Follow-up action remains open.</x:v>
      </x:c>
    </x:row>
    <x:row r="9">
      <x:c r="A9" s="54" t="str">
        <x:v>EVT-204A-008</x:v>
      </x:c>
      <x:c r="B9" s="57" t="n">
        <x:v>46280</x:v>
      </x:c>
      <x:c r="C9" s="54" t="str">
        <x:v>11:35</x:v>
      </x:c>
      <x:c r="D9" s="54" t="str">
        <x:v>P-204A</x:v>
      </x:c>
      <x:c r="E9" s="54" t="str">
        <x:v>No emergency shutdown recorded</x:v>
      </x:c>
      <x:c r="F9" s="54" t="str">
        <x:v>Informational</x:v>
      </x:c>
      <x:c r="G9" s="54" t="str">
        <x:v>Closed</x:v>
      </x:c>
      <x:c r="H9" s="54" t="str">
        <x:v>Continue routine monitoring</x:v>
      </x:c>
      <x:c r="I9" s="54" t="str">
        <x:v>Shift Log / Demo Record</x:v>
      </x:c>
      <x:c r="J9" s="54" t="str">
        <x:v>Does not imply the pump is fully healthy.</x:v>
      </x:c>
    </x:row>
  </x:sheetData>
  <x:conditionalFormatting sqref="F2:F100">
    <x:cfRule type="expression" dxfId="0" priority="1">
      <x:formula>F2="Follow-up"</x:formula>
    </x:cfRule>
    <x:cfRule type="expression" dxfId="1" priority="2">
      <x:formula>F2="Critical"</x:formula>
    </x:cfRule>
  </x:conditionalFormatting>
  <x:conditionalFormatting sqref="G2:G100">
    <x:cfRule type="expression" dxfId="2" priority="3">
      <x:formula>G2="Open"</x:formula>
    </x:cfRule>
    <x:cfRule type="expression" dxfId="3" priority="4">
      <x:formula>G2="Closed"</x:formula>
    </x:cfRule>
  </x:conditionalFormatting>
  <x:dataValidations count="2">
    <x:dataValidation type="list" sqref="F2:F100">
      <x:formula1>"Follow-up,Informational,Critical"</x:formula1>
    </x:dataValidation>
    <x:dataValidation type="list" sqref="G2:G100">
      <x:formula1>"Open,Closed,Monitoring"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b9b1007faf4e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46" hidden="0" customWidth="1"/>
  </x:cols>
  <x:sheetData>
    <x:row r="1">
      <x:c r="A1" s="60" t="str">
        <x:v>RAG / Prototype Retrieval Guide</x:v>
      </x:c>
    </x:row>
    <x:row r="3">
      <x:c r="A3" s="67" t="str">
        <x:v>Use Case</x:v>
      </x:c>
      <x:c r="B3" s="67" t="str">
        <x:v>Useful Retrieval Terms</x:v>
      </x:c>
      <x:c r="C3" s="67" t="str">
        <x:v>Expected Evidence</x:v>
      </x:c>
      <x:c r="D3" s="67" t="str">
        <x:v>Grounding Rule</x:v>
      </x:c>
    </x:row>
    <x:row r="4">
      <x:c r="A4" s="54" t="str">
        <x:v>Alarm/event lookup</x:v>
      </x:c>
      <x:c r="B4" s="54" t="str">
        <x:v>P-204A alarm, event log, abnormal observation</x:v>
      </x:c>
      <x:c r="C4" s="54" t="str">
        <x:v>Event ID, time, classification, status</x:v>
      </x:c>
      <x:c r="D4" s="54" t="str">
        <x:v>Do not invent alarm thresholds or sensor values.</x:v>
      </x:c>
    </x:row>
    <x:row r="5">
      <x:c r="A5" s="54" t="str">
        <x:v>Shift summary</x:v>
      </x:c>
      <x:c r="B5" s="54" t="str">
        <x:v>P-204A today's alarms, shift events</x:v>
      </x:c>
      <x:c r="C5" s="54" t="str">
        <x:v>Chronological events and follow-up status</x:v>
      </x:c>
      <x:c r="D5" s="54" t="str">
        <x:v>Use the recorded shift date/time only.</x:v>
      </x:c>
    </x:row>
    <x:row r="6">
      <x:c r="A6" s="54" t="str">
        <x:v>Maintenance planning</x:v>
      </x:c>
      <x:c r="B6" s="54" t="str">
        <x:v>vibration, seal leakage, pending action</x:v>
      </x:c>
      <x:c r="C6" s="54" t="str">
        <x:v>Open follow-up events linked to maintenance</x:v>
      </x:c>
      <x:c r="D6" s="54" t="str">
        <x:v>Distinguish observation from confirmed diagnosis.</x:v>
      </x:c>
    </x:row>
    <x:row r="7">
      <x:c r="A7" s="54" t="str">
        <x:v>Cross-document RAG</x:v>
      </x:c>
      <x:c r="B7" s="54" t="str">
        <x:v>maintenance history + alarm log + procedure</x:v>
      </x:c>
      <x:c r="C7" s="54" t="str">
        <x:v>Recurring issues plus applicable maintenance actions</x:v>
      </x:c>
      <x:c r="D7" s="54" t="str">
        <x:v>Retrieve the dedicated SOP for detailed procedure/safety.</x:v>
      </x:c>
    </x:row>
    <x:row r="8">
      <x:c r="A8" s="54" t="str">
        <x:v>Artifact generation</x:v>
      </x:c>
      <x:c r="B8" s="54" t="str">
        <x:v>create Excel tracker from alarm events</x:v>
      </x:c>
      <x:c r="C8" s="54" t="str">
        <x:v>Structured event/action table</x:v>
      </x:c>
      <x:c r="D8" s="54" t="str">
        <x:v>Mark fields unavailable in the source rather than guessing.</x:v>
      </x:c>
    </x:row>
    <x:row r="10">
      <x:c r="A10" s="91" t="str">
        <x:v>Cross-Document Retrieval Map</x:v>
      </x:c>
    </x:row>
    <x:row r="11">
      <x:c r="A11" s="67" t="str">
        <x:v>Prototype Need</x:v>
      </x:c>
      <x:c r="B11" s="67" t="str">
        <x:v>Primary Source</x:v>
      </x:c>
      <x:c r="C11" s="67" t="str">
        <x:v>Secondary Source</x:v>
      </x:c>
      <x:c r="D11" s="67" t="str">
        <x:v>Evidence to Combine</x:v>
      </x:c>
      <x:c r="E11" s="67" t="str">
        <x:v>Artifact Potential</x:v>
      </x:c>
    </x:row>
    <x:row r="12">
      <x:c r="A12" s="54" t="str">
        <x:v>Recurring pump issues</x:v>
      </x:c>
      <x:c r="B12" s="54" t="str">
        <x:v>pump_maintenance_history</x:v>
      </x:c>
      <x:c r="C12" s="54" t="str">
        <x:v>Detailed Event Log</x:v>
      </x:c>
      <x:c r="D12" s="54" t="str">
        <x:v>Historical findings + recent observations</x:v>
      </x:c>
      <x:c r="E12" s="54" t="str">
        <x:v>Maintenance review DOCX</x:v>
      </x:c>
    </x:row>
    <x:row r="13">
      <x:c r="A13" s="54" t="str">
        <x:v>Maintenance steps</x:v>
      </x:c>
      <x:c r="B13" s="54" t="str">
        <x:v>pump_maintenance_procedure</x:v>
      </x:c>
      <x:c r="C13" s="54" t="str">
        <x:v>pump_maintenance_history</x:v>
      </x:c>
      <x:c r="D13" s="54" t="str">
        <x:v>Applicable procedure + known recurring condition</x:v>
      </x:c>
      <x:c r="E13" s="54" t="str">
        <x:v>Maintenance Work Order DOCX</x:v>
      </x:c>
    </x:row>
    <x:row r="14">
      <x:c r="A14" s="54" t="str">
        <x:v>Safety before maintenance</x:v>
      </x:c>
      <x:c r="B14" s="54" t="str">
        <x:v>pump_safety_loto_procedure</x:v>
      </x:c>
      <x:c r="C14" s="54" t="str">
        <x:v>Daily Shift Log</x:v>
      </x:c>
      <x:c r="D14" s="54" t="str">
        <x:v>LOTO / PPE / permit + current work scope</x:v>
      </x:c>
      <x:c r="E14" s="54" t="str">
        <x:v>Safety Checklist DOCX</x:v>
      </x:c>
    </x:row>
    <x:row r="15">
      <x:c r="A15" s="54" t="str">
        <x:v>Shift handover</x:v>
      </x:c>
      <x:c r="B15" s="54" t="str">
        <x:v>Daily Shift Log</x:v>
      </x:c>
      <x:c r="C15" s="54" t="str">
        <x:v>Detailed Event Log</x:v>
      </x:c>
      <x:c r="D15" s="54" t="str">
        <x:v>Events + abnormalities + open actions</x:v>
      </x:c>
      <x:c r="E15" s="54" t="str">
        <x:v>Shift Handover DOCX</x:v>
      </x:c>
    </x:row>
    <x:row r="16">
      <x:c r="A16" s="54" t="str">
        <x:v>Action tracker</x:v>
      </x:c>
      <x:c r="B16" s="54" t="str">
        <x:v>Detailed Event Log</x:v>
      </x:c>
      <x:c r="C16" s="54" t="str">
        <x:v>Daily Shift Log</x:v>
      </x:c>
      <x:c r="D16" s="54" t="str">
        <x:v>Open events + action IDs + owners/status</x:v>
      </x:c>
      <x:c r="E16" s="54" t="str">
        <x:v>Maintenance Tracker XLSX</x:v>
      </x:c>
    </x:row>
  </x:sheetData>
  <x:mergeCells>
    <x:mergeCell ref="A1:D1"/>
    <x:mergeCell ref="A10:E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9" hidden="0" customWidth="1"/>
    <x:col min="4" max="4" width="12" hidden="0" customWidth="1"/>
    <x:col min="5" max="5" width="20" hidden="0" customWidth="1"/>
    <x:col min="6" max="6" width="24" hidden="0" customWidth="1"/>
    <x:col min="7" max="7" width="12" hidden="0" customWidth="1"/>
    <x:col min="8" max="8" width="13" hidden="0" customWidth="1"/>
    <x:col min="9" max="9" width="22" hidden="0" customWidth="1"/>
    <x:col min="10" max="10" width="44" hidden="0" customWidth="1"/>
    <x:col min="11" max="11" width="36" hidden="0" customWidth="1"/>
    <x:col min="12" max="12" width="38" hidden="0" customWidth="1"/>
    <x:col min="13" max="13" width="42" hidden="0" customWidth="1"/>
    <x:col min="14" max="14" width="16" hidden="0" customWidth="1"/>
    <x:col min="15" max="15" width="13" hidden="0" customWidth="1"/>
    <x:col min="16" max="16" width="28" hidden="0" customWidth="1"/>
    <x:col min="17" max="17" width="42" hidden="0" customWidth="1"/>
  </x:cols>
  <x:sheetData>
    <x:row r="1">
      <x:c r="A1" s="72" t="str">
        <x:v>Event ID</x:v>
      </x:c>
      <x:c r="B1" s="72" t="str">
        <x:v>Date</x:v>
      </x:c>
      <x:c r="C1" s="72" t="str">
        <x:v>Time</x:v>
      </x:c>
      <x:c r="D1" s="72" t="str">
        <x:v>Equipment</x:v>
      </x:c>
      <x:c r="E1" s="72" t="str">
        <x:v>Area</x:v>
      </x:c>
      <x:c r="F1" s="72" t="str">
        <x:v>Event Type</x:v>
      </x:c>
      <x:c r="G1" s="72" t="str">
        <x:v>Priority</x:v>
      </x:c>
      <x:c r="H1" s="72" t="str">
        <x:v>Severity</x:v>
      </x:c>
      <x:c r="I1" s="72" t="str">
        <x:v>Detection Source</x:v>
      </x:c>
      <x:c r="J1" s="72" t="str">
        <x:v>Observation</x:v>
      </x:c>
      <x:c r="K1" s="72" t="str">
        <x:v>Operating Impact</x:v>
      </x:c>
      <x:c r="L1" s="72" t="str">
        <x:v>Immediate Response</x:v>
      </x:c>
      <x:c r="M1" s="72" t="str">
        <x:v>Required Follow-up</x:v>
      </x:c>
      <x:c r="N1" s="72" t="str">
        <x:v>Action ID</x:v>
      </x:c>
      <x:c r="O1" s="72" t="str">
        <x:v>Status</x:v>
      </x:c>
      <x:c r="P1" s="72" t="str">
        <x:v>Source Record</x:v>
      </x:c>
      <x:c r="Q1" s="72" t="str">
        <x:v>Evidence / Grounding Note</x:v>
      </x:c>
    </x:row>
    <x:row r="2">
      <x:c r="A2" s="54" t="str">
        <x:v>EVT-204A-001</x:v>
      </x:c>
      <x:c r="B2" s="57" t="n">
        <x:v>46283</x:v>
      </x:c>
      <x:c r="C2" s="54" t="str">
        <x:v>09:10</x:v>
      </x:c>
      <x:c r="D2" s="54" t="str">
        <x:v>P-204A</x:v>
      </x:c>
      <x:c r="E2" s="54" t="str">
        <x:v>Cooling Water System</x:v>
      </x:c>
      <x:c r="F2" s="54" t="str">
        <x:v>Vibration Observation</x:v>
      </x:c>
      <x:c r="G2" s="54" t="str">
        <x:v>High</x:v>
      </x:c>
      <x:c r="H2" s="54" t="str">
        <x:v>Warning</x:v>
      </x:c>
      <x:c r="I2" s="54" t="str">
        <x:v>Field Operator</x:v>
      </x:c>
      <x:c r="J2" s="54" t="str">
        <x:v>Abnormal vibration trend reported compared with normal operating condition.</x:v>
      </x:c>
      <x:c r="K2" s="54" t="str">
        <x:v>No shutdown recorded; continued operation under monitoring.</x:v>
      </x:c>
      <x:c r="L2" s="54" t="str">
        <x:v>Observation logged and maintenance coordinator informed.</x:v>
      </x:c>
      <x:c r="M2" s="54" t="str">
        <x:v>Investigate vibration trend and review previous maintenance findings.</x:v>
      </x:c>
      <x:c r="N2" s="54" t="str">
        <x:v>PA-204A-01</x:v>
      </x:c>
      <x:c r="O2" s="54" t="str">
        <x:v>Open</x:v>
      </x:c>
      <x:c r="P2" s="54" t="str">
        <x:v>Daily Shift Log — 2026-09-18</x:v>
      </x:c>
      <x:c r="Q2" s="54" t="str">
        <x:v>No numerical vibration value is supplied; do not invent one.</x:v>
      </x:c>
    </x:row>
    <x:row r="3">
      <x:c r="A3" s="54" t="str">
        <x:v>EVT-204A-002</x:v>
      </x:c>
      <x:c r="B3" s="57" t="n">
        <x:v>46283</x:v>
      </x:c>
      <x:c r="C3" s="54" t="str">
        <x:v>10:45</x:v>
      </x:c>
      <x:c r="D3" s="54" t="str">
        <x:v>P-204A</x:v>
      </x:c>
      <x:c r="E3" s="54" t="str">
        <x:v>Cooling Water System</x:v>
      </x:c>
      <x:c r="F3" s="54" t="str">
        <x:v>Mechanical Seal Leakage</x:v>
      </x:c>
      <x:c r="G3" s="54" t="str">
        <x:v>High</x:v>
      </x:c>
      <x:c r="H3" s="54" t="str">
        <x:v>Warning</x:v>
      </x:c>
      <x:c r="I3" s="54" t="str">
        <x:v>Field Operator</x:v>
      </x:c>
      <x:c r="J3" s="54" t="str">
        <x:v>Minor visible leakage observed around mechanical-seal area.</x:v>
      </x:c>
      <x:c r="K3" s="54" t="str">
        <x:v>No emergency shutdown recorded in the source record.</x:v>
      </x:c>
      <x:c r="L3" s="54" t="str">
        <x:v>Condition retained for maintenance follow-up and monitoring.</x:v>
      </x:c>
      <x:c r="M3" s="54" t="str">
        <x:v>Inspect mechanical seal and document findings.</x:v>
      </x:c>
      <x:c r="N3" s="54" t="str">
        <x:v>PA-204A-04</x:v>
      </x:c>
      <x:c r="O3" s="54" t="str">
        <x:v>Open</x:v>
      </x:c>
      <x:c r="P3" s="54" t="str">
        <x:v>Daily Shift Log — 2026-09-18</x:v>
      </x:c>
      <x:c r="Q3" s="54" t="str">
        <x:v>Observation is not a confirmed seal failure diagnosis.</x:v>
      </x:c>
    </x:row>
    <x:row r="4">
      <x:c r="A4" s="54" t="str">
        <x:v>EVT-204A-003</x:v>
      </x:c>
      <x:c r="B4" s="57" t="n">
        <x:v>46283</x:v>
      </x:c>
      <x:c r="C4" s="54" t="str">
        <x:v>11:30</x:v>
      </x:c>
      <x:c r="D4" s="54" t="str">
        <x:v>P-204A</x:v>
      </x:c>
      <x:c r="E4" s="54" t="str">
        <x:v>Control Room</x:v>
      </x:c>
      <x:c r="F4" s="54" t="str">
        <x:v>Status Review</x:v>
      </x:c>
      <x:c r="G4" s="54" t="str">
        <x:v>Low</x:v>
      </x:c>
      <x:c r="H4" s="54" t="str">
        <x:v>Informational</x:v>
      </x:c>
      <x:c r="I4" s="54" t="str">
        <x:v>Control Room</x:v>
      </x:c>
      <x:c r="J4" s="54" t="str">
        <x:v>Control-room review of available equipment indications completed.</x:v>
      </x:c>
      <x:c r="K4" s="54" t="str">
        <x:v>No emergency trip of P-204A recorded during the shift.</x:v>
      </x:c>
      <x:c r="L4" s="54" t="str">
        <x:v>Continue routine monitoring.</x:v>
      </x:c>
      <x:c r="M4" s="54" t="str">
        <x:v>No additional action from this event alone.</x:v>
      </x:c>
      <x:c r="N4" s="54" t="str">
        <x:v>PA-204A-06</x:v>
      </x:c>
      <x:c r="O4" s="54" t="str">
        <x:v>Closed</x:v>
      </x:c>
      <x:c r="P4" s="54" t="str">
        <x:v>Daily Shift Log — 2026-09-18</x:v>
      </x:c>
      <x:c r="Q4" s="54" t="str">
        <x:v>Absence of an emergency trip does not mean equipment health was confirmed.</x:v>
      </x:c>
    </x:row>
    <x:row r="5">
      <x:c r="A5" s="54" t="str">
        <x:v>EVT-204A-004</x:v>
      </x:c>
      <x:c r="B5" s="57" t="n">
        <x:v>46283</x:v>
      </x:c>
      <x:c r="C5" s="54" t="str">
        <x:v>12:20</x:v>
      </x:c>
      <x:c r="D5" s="54" t="str">
        <x:v>P-204A</x:v>
      </x:c>
      <x:c r="E5" s="54" t="str">
        <x:v>Maintenance Planning</x:v>
      </x:c>
      <x:c r="F5" s="54" t="str">
        <x:v>Maintenance Scope Review</x:v>
      </x:c>
      <x:c r="G5" s="54" t="str">
        <x:v>Medium</x:v>
      </x:c>
      <x:c r="H5" s="54" t="str">
        <x:v>Informational</x:v>
      </x:c>
      <x:c r="I5" s="54" t="str">
        <x:v>Maintenance Coordinator</x:v>
      </x:c>
      <x:c r="J5" s="54" t="str">
        <x:v>Open work scope reviewed: vibration, alignment, bearing and seal inspection.</x:v>
      </x:c>
      <x:c r="K5" s="54" t="str">
        <x:v>No direct operating impact; intervention remained planned.</x:v>
      </x:c>
      <x:c r="L5" s="54" t="str">
        <x:v>Maintenance scope and safety dependency reviewed.</x:v>
      </x:c>
      <x:c r="M5" s="54" t="str">
        <x:v>Execute inspections under approved maintenance and LOTO controls.</x:v>
      </x:c>
      <x:c r="N5" s="54" t="str">
        <x:v>PA-204A-02</x:v>
      </x:c>
      <x:c r="O5" s="54" t="str">
        <x:v>Open</x:v>
      </x:c>
      <x:c r="P5" s="54" t="str">
        <x:v>Daily Shift Log — 2026-09-18</x:v>
      </x:c>
      <x:c r="Q5" s="54" t="str">
        <x:v>Use the maintenance procedure and safety procedure for exact controls.</x:v>
      </x:c>
    </x:row>
    <x:row r="6">
      <x:c r="A6" s="54" t="str">
        <x:v>EVT-204A-005</x:v>
      </x:c>
      <x:c r="B6" s="57" t="n">
        <x:v>46283</x:v>
      </x:c>
      <x:c r="C6" s="54" t="str">
        <x:v>13:10</x:v>
      </x:c>
      <x:c r="D6" s="54" t="str">
        <x:v>P-204A</x:v>
      </x:c>
      <x:c r="E6" s="54" t="str">
        <x:v>Maintenance Coordination</x:v>
      </x:c>
      <x:c r="F6" s="54" t="str">
        <x:v>Safety Dependency</x:v>
      </x:c>
      <x:c r="G6" s="54" t="str">
        <x:v>High</x:v>
      </x:c>
      <x:c r="H6" s="54" t="str">
        <x:v>Control</x:v>
      </x:c>
      <x:c r="I6" s="54" t="str">
        <x:v>Maintenance Coordinator</x:v>
      </x:c>
      <x:c r="J6" s="54" t="str">
        <x:v>Confirmed that physical intervention requires applicable isolation / LOTO and permits.</x:v>
      </x:c>
      <x:c r="K6" s="54" t="str">
        <x:v>Maintenance activity cannot proceed without required controls.</x:v>
      </x:c>
      <x:c r="L6" s="54" t="str">
        <x:v>Safety requirement linked to maintenance scope.</x:v>
      </x:c>
      <x:c r="M6" s="54" t="str">
        <x:v>Confirm approved isolation / LOTO before physical intervention.</x:v>
      </x:c>
      <x:c r="N6" s="54" t="str">
        <x:v>PA-204A-05</x:v>
      </x:c>
      <x:c r="O6" s="54" t="str">
        <x:v>Open</x:v>
      </x:c>
      <x:c r="P6" s="54" t="str">
        <x:v>Daily Shift Log — 2026-09-18</x:v>
      </x:c>
      <x:c r="Q6" s="54" t="str">
        <x:v>Detailed isolation steps belong to the dedicated safety/LOTO procedure.</x:v>
      </x:c>
    </x:row>
    <x:row r="7">
      <x:c r="A7" s="54" t="str">
        <x:v>EVT-204A-006</x:v>
      </x:c>
      <x:c r="B7" s="57" t="n">
        <x:v>46283</x:v>
      </x:c>
      <x:c r="C7" s="54" t="str">
        <x:v>14:25</x:v>
      </x:c>
      <x:c r="D7" s="54" t="str">
        <x:v>P-204A</x:v>
      </x:c>
      <x:c r="E7" s="54" t="str">
        <x:v>Cooling Water System</x:v>
      </x:c>
      <x:c r="F7" s="54" t="str">
        <x:v>Follow-up Review</x:v>
      </x:c>
      <x:c r="G7" s="54" t="str">
        <x:v>Medium</x:v>
      </x:c>
      <x:c r="H7" s="54" t="str">
        <x:v>Warning</x:v>
      </x:c>
      <x:c r="I7" s="54" t="str">
        <x:v>Maintenance Coordinator</x:v>
      </x:c>
      <x:c r="J7" s="54" t="str">
        <x:v>Recurring issue pattern retained as an open maintenance follow-up.</x:v>
      </x:c>
      <x:c r="K7" s="54" t="str">
        <x:v>Pump remained available; issue not closed.</x:v>
      </x:c>
      <x:c r="L7" s="54" t="str">
        <x:v>Pending items reviewed.</x:v>
      </x:c>
      <x:c r="M7" s="54" t="str">
        <x:v>Continue vibration, alignment, bearing and seal follow-up.</x:v>
      </x:c>
      <x:c r="N7" s="54" t="str">
        <x:v>PA-204A-01</x:v>
      </x:c>
      <x:c r="O7" s="54" t="str">
        <x:v>Open</x:v>
      </x:c>
      <x:c r="P7" s="54" t="str">
        <x:v>Daily Shift Log — 2026-09-18</x:v>
      </x:c>
      <x:c r="Q7" s="54" t="str">
        <x:v>Do not infer root cause from recurrence alone.</x:v>
      </x:c>
    </x:row>
    <x:row r="8">
      <x:c r="A8" s="54" t="str">
        <x:v>EVT-204A-007</x:v>
      </x:c>
      <x:c r="B8" s="57" t="n">
        <x:v>46283</x:v>
      </x:c>
      <x:c r="C8" s="54" t="str">
        <x:v>15:30</x:v>
      </x:c>
      <x:c r="D8" s="54" t="str">
        <x:v>P-204A</x:v>
      </x:c>
      <x:c r="E8" s="54" t="str">
        <x:v>Shift Handover</x:v>
      </x:c>
      <x:c r="F8" s="54" t="str">
        <x:v>Handover</x:v>
      </x:c>
      <x:c r="G8" s="54" t="str">
        <x:v>Medium</x:v>
      </x:c>
      <x:c r="H8" s="54" t="str">
        <x:v>Informational</x:v>
      </x:c>
      <x:c r="I8" s="54" t="str">
        <x:v>Shift Operations</x:v>
      </x:c>
      <x:c r="J8" s="54" t="str">
        <x:v>Open vibration, seal and planned-maintenance items prepared for handover.</x:v>
      </x:c>
      <x:c r="K8" s="54" t="str">
        <x:v>Next shift must continue monitoring and coordinate maintenance.</x:v>
      </x:c>
      <x:c r="L8" s="54" t="str">
        <x:v>Handover items communicated.</x:v>
      </x:c>
      <x:c r="M8" s="54" t="str">
        <x:v>Carry open actions into next shift.</x:v>
      </x:c>
      <x:c r="N8" s="54" t="str">
        <x:v>PA-204A-01</x:v>
      </x:c>
      <x:c r="O8" s="54" t="str">
        <x:v>Monitoring</x:v>
      </x:c>
      <x:c r="P8" s="54" t="str">
        <x:v>Daily Shift Log — 2026-09-18</x:v>
      </x:c>
      <x:c r="Q8" s="54" t="str">
        <x:v>Handover reflects source record; no new engineering conclusion.</x:v>
      </x:c>
    </x:row>
    <x:row r="9">
      <x:c r="A9" s="54" t="str">
        <x:v>EVT-204A-008</x:v>
      </x:c>
      <x:c r="B9" s="57" t="n">
        <x:v>46282</x:v>
      </x:c>
      <x:c r="C9" s="54" t="str">
        <x:v>08:40</x:v>
      </x:c>
      <x:c r="D9" s="54" t="str">
        <x:v>P-204A</x:v>
      </x:c>
      <x:c r="E9" s="54" t="str">
        <x:v>Maintenance Coordination</x:v>
      </x:c>
      <x:c r="F9" s="54" t="str">
        <x:v>Vibration Review</x:v>
      </x:c>
      <x:c r="G9" s="54" t="str">
        <x:v>High</x:v>
      </x:c>
      <x:c r="H9" s="54" t="str">
        <x:v>Warning</x:v>
      </x:c>
      <x:c r="I9" s="54" t="str">
        <x:v>Maintenance Coordinator</x:v>
      </x:c>
      <x:c r="J9" s="54" t="str">
        <x:v>Vibration trend discussed during maintenance coordination.</x:v>
      </x:c>
      <x:c r="K9" s="54" t="str">
        <x:v>Investigation required before maintenance scope is closed.</x:v>
      </x:c>
      <x:c r="L9" s="54" t="str">
        <x:v>Prior maintenance findings reviewed.</x:v>
      </x:c>
      <x:c r="M9" s="54" t="str">
        <x:v>Inspect coupling and verify alignment.</x:v>
      </x:c>
      <x:c r="N9" s="54" t="str">
        <x:v>PA-204A-02</x:v>
      </x:c>
      <x:c r="O9" s="54" t="str">
        <x:v>Open</x:v>
      </x:c>
      <x:c r="P9" s="54" t="str">
        <x:v>Maintenance Coordination — Synthetic Record</x:v>
      </x:c>
      <x:c r="Q9" s="54" t="str">
        <x:v>Synthetic event created to connect RAG sources.</x:v>
      </x:c>
    </x:row>
    <x:row r="10">
      <x:c r="A10" s="54" t="str">
        <x:v>EVT-204A-009</x:v>
      </x:c>
      <x:c r="B10" s="57" t="n">
        <x:v>46282</x:v>
      </x:c>
      <x:c r="C10" s="54" t="str">
        <x:v>10:15</x:v>
      </x:c>
      <x:c r="D10" s="54" t="str">
        <x:v>P-204A</x:v>
      </x:c>
      <x:c r="E10" s="54" t="str">
        <x:v>Maintenance Coordination</x:v>
      </x:c>
      <x:c r="F10" s="54" t="str">
        <x:v>Bearing Inspection Pending</x:v>
      </x:c>
      <x:c r="G10" s="54" t="str">
        <x:v>Medium</x:v>
      </x:c>
      <x:c r="H10" s="54" t="str">
        <x:v>Warning</x:v>
      </x:c>
      <x:c r="I10" s="54" t="str">
        <x:v>Maintenance Coordinator</x:v>
      </x:c>
      <x:c r="J10" s="54" t="str">
        <x:v>Bearing condition identified for inspection.</x:v>
      </x:c>
      <x:c r="K10" s="54" t="str">
        <x:v>No numerical bearing condition is provided.</x:v>
      </x:c>
      <x:c r="L10" s="54" t="str">
        <x:v>Inspection retained in work scope.</x:v>
      </x:c>
      <x:c r="M10" s="54" t="str">
        <x:v>Inspect bearing condition under approved procedure.</x:v>
      </x:c>
      <x:c r="N10" s="54" t="str">
        <x:v>PA-204A-03</x:v>
      </x:c>
      <x:c r="O10" s="54" t="str">
        <x:v>Open</x:v>
      </x:c>
      <x:c r="P10" s="54" t="str">
        <x:v>Maintenance Coordination — Synthetic Record</x:v>
      </x:c>
      <x:c r="Q10" s="54" t="str">
        <x:v>No bearing measurement or condition grade is available.</x:v>
      </x:c>
    </x:row>
    <x:row r="11">
      <x:c r="A11" s="54" t="str">
        <x:v>EVT-204A-010</x:v>
      </x:c>
      <x:c r="B11" s="57" t="n">
        <x:v>46282</x:v>
      </x:c>
      <x:c r="C11" s="54" t="str">
        <x:v>14:35</x:v>
      </x:c>
      <x:c r="D11" s="54" t="str">
        <x:v>P-204A</x:v>
      </x:c>
      <x:c r="E11" s="54" t="str">
        <x:v>Maintenance Planning</x:v>
      </x:c>
      <x:c r="F11" s="54" t="str">
        <x:v>Alignment Follow-up</x:v>
      </x:c>
      <x:c r="G11" s="54" t="str">
        <x:v>High</x:v>
      </x:c>
      <x:c r="H11" s="54" t="str">
        <x:v>Control</x:v>
      </x:c>
      <x:c r="I11" s="54" t="str">
        <x:v>Maintenance Planner</x:v>
      </x:c>
      <x:c r="J11" s="54" t="str">
        <x:v>Coupling/alignment check remained outstanding.</x:v>
      </x:c>
      <x:c r="K11" s="54" t="str">
        <x:v>Maintenance closure delayed until inspection is completed.</x:v>
      </x:c>
      <x:c r="L11" s="54" t="str">
        <x:v>Follow-up task retained.</x:v>
      </x:c>
      <x:c r="M11" s="54" t="str">
        <x:v>Complete alignment verification and document findings.</x:v>
      </x:c>
      <x:c r="N11" s="54" t="str">
        <x:v>PA-204A-02</x:v>
      </x:c>
      <x:c r="O11" s="54" t="str">
        <x:v>Open</x:v>
      </x:c>
      <x:c r="P11" s="54" t="str">
        <x:v>Pump Maintenance History</x:v>
      </x:c>
      <x:c r="Q11" s="54" t="str">
        <x:v>Retrieve maintenance procedure for inspection/acceptance criteria.</x:v>
      </x:c>
    </x:row>
    <x:row r="12">
      <x:c r="A12" s="54" t="str">
        <x:v>EVT-204A-011</x:v>
      </x:c>
      <x:c r="B12" s="57" t="n">
        <x:v>46281</x:v>
      </x:c>
      <x:c r="C12" s="54" t="str">
        <x:v>14:20</x:v>
      </x:c>
      <x:c r="D12" s="54" t="str">
        <x:v>P-204A</x:v>
      </x:c>
      <x:c r="E12" s="54" t="str">
        <x:v>Maintenance Records</x:v>
      </x:c>
      <x:c r="F12" s="54" t="str">
        <x:v>History Review</x:v>
      </x:c>
      <x:c r="G12" s="54" t="str">
        <x:v>Low</x:v>
      </x:c>
      <x:c r="H12" s="54" t="str">
        <x:v>Informational</x:v>
      </x:c>
      <x:c r="I12" s="54" t="str">
        <x:v>Maintenance Coordinator</x:v>
      </x:c>
      <x:c r="J12" s="54" t="str">
        <x:v>Previous P-204A maintenance findings reviewed.</x:v>
      </x:c>
      <x:c r="K12" s="54" t="str">
        <x:v>No immediate operating impact from record review.</x:v>
      </x:c>
      <x:c r="L12" s="54" t="str">
        <x:v>Historical findings linked to current planning.</x:v>
      </x:c>
      <x:c r="M12" s="54" t="str">
        <x:v>Use maintenance history during corrective planning.</x:v>
      </x:c>
      <x:c r="N12" s="54" t="str">
        <x:v>PA-204A-01</x:v>
      </x:c>
      <x:c r="O12" s="54" t="str">
        <x:v>Closed</x:v>
      </x:c>
      <x:c r="P12" s="54" t="str">
        <x:v>Pump Maintenance History</x:v>
      </x:c>
      <x:c r="Q12" s="54" t="str">
        <x:v>Historical record is separate from today's shift observation.</x:v>
      </x:c>
    </x:row>
    <x:row r="13">
      <x:c r="A13" s="54" t="str">
        <x:v>EVT-204A-012</x:v>
      </x:c>
      <x:c r="B13" s="57" t="n">
        <x:v>46281</x:v>
      </x:c>
      <x:c r="C13" s="54" t="str">
        <x:v>15:05</x:v>
      </x:c>
      <x:c r="D13" s="54" t="str">
        <x:v>P-204A</x:v>
      </x:c>
      <x:c r="E13" s="54" t="str">
        <x:v>Cooling Water System</x:v>
      </x:c>
      <x:c r="F13" s="54" t="str">
        <x:v>Seal Follow-up</x:v>
      </x:c>
      <x:c r="G13" s="54" t="str">
        <x:v>High</x:v>
      </x:c>
      <x:c r="H13" s="54" t="str">
        <x:v>Warning</x:v>
      </x:c>
      <x:c r="I13" s="54" t="str">
        <x:v>Maintenance Records</x:v>
      </x:c>
      <x:c r="J13" s="54" t="str">
        <x:v>Mechanical-seal follow-up retained as an open action.</x:v>
      </x:c>
      <x:c r="K13" s="54" t="str">
        <x:v>Continued monitoring required.</x:v>
      </x:c>
      <x:c r="L13" s="54" t="str">
        <x:v>Seal inspection retained in maintenance scope.</x:v>
      </x:c>
      <x:c r="M13" s="54" t="str">
        <x:v>Inspect seal and document findings.</x:v>
      </x:c>
      <x:c r="N13" s="54" t="str">
        <x:v>PA-204A-04</x:v>
      </x:c>
      <x:c r="O13" s="54" t="str">
        <x:v>Open</x:v>
      </x:c>
      <x:c r="P13" s="54" t="str">
        <x:v>Pump Maintenance History</x:v>
      </x:c>
      <x:c r="Q13" s="54" t="str">
        <x:v>Do not classify as confirmed failure without inspection evidence.</x:v>
      </x:c>
    </x:row>
    <x:row r="14">
      <x:c r="A14" s="54" t="str">
        <x:v>EVT-204A-013</x:v>
      </x:c>
      <x:c r="B14" s="57" t="n">
        <x:v>46281</x:v>
      </x:c>
      <x:c r="C14" s="54" t="str">
        <x:v>16:10</x:v>
      </x:c>
      <x:c r="D14" s="54" t="str">
        <x:v>P-204A</x:v>
      </x:c>
      <x:c r="E14" s="54" t="str">
        <x:v>Cooling Water System</x:v>
      </x:c>
      <x:c r="F14" s="54" t="str">
        <x:v>Planned Maintenance</x:v>
      </x:c>
      <x:c r="G14" s="54" t="str">
        <x:v>Medium</x:v>
      </x:c>
      <x:c r="H14" s="54" t="str">
        <x:v>Control</x:v>
      </x:c>
      <x:c r="I14" s="54" t="str">
        <x:v>Maintenance Planner</x:v>
      </x:c>
      <x:c r="J14" s="54" t="str">
        <x:v>Planned intervention requires equipment isolation before physical work.</x:v>
      </x:c>
      <x:c r="K14" s="54" t="str">
        <x:v>Work remains pending until conditions are established.</x:v>
      </x:c>
      <x:c r="L14" s="54" t="str">
        <x:v>Planning linked to safety controls.</x:v>
      </x:c>
      <x:c r="M14" s="54" t="str">
        <x:v>Coordinate permit and LOTO before intervention.</x:v>
      </x:c>
      <x:c r="N14" s="54" t="str">
        <x:v>PA-204A-05</x:v>
      </x:c>
      <x:c r="O14" s="54" t="str">
        <x:v>Open</x:v>
      </x:c>
      <x:c r="P14" s="54" t="str">
        <x:v>Pump Safety / LOTO Procedure</x:v>
      </x:c>
      <x:c r="Q14" s="54" t="str">
        <x:v>Safety procedure provides the detailed control steps.</x:v>
      </x:c>
    </x:row>
    <x:row r="15">
      <x:c r="A15" s="54" t="str">
        <x:v>EVT-204A-014</x:v>
      </x:c>
      <x:c r="B15" s="57" t="n">
        <x:v>46280</x:v>
      </x:c>
      <x:c r="C15" s="54" t="str">
        <x:v>11:35</x:v>
      </x:c>
      <x:c r="D15" s="54" t="str">
        <x:v>P-204A</x:v>
      </x:c>
      <x:c r="E15" s="54" t="str">
        <x:v>Cooling Water System</x:v>
      </x:c>
      <x:c r="F15" s="54" t="str">
        <x:v>No Emergency Trip</x:v>
      </x:c>
      <x:c r="G15" s="54" t="str">
        <x:v>Low</x:v>
      </x:c>
      <x:c r="H15" s="54" t="str">
        <x:v>Informational</x:v>
      </x:c>
      <x:c r="I15" s="54" t="str">
        <x:v>Control Room</x:v>
      </x:c>
      <x:c r="J15" s="54" t="str">
        <x:v>No emergency shutdown recorded for P-204A.</x:v>
      </x:c>
      <x:c r="K15" s="54" t="str">
        <x:v>Equipment remained available for service in the source record.</x:v>
      </x:c>
      <x:c r="L15" s="54" t="str">
        <x:v>Routine monitoring continued.</x:v>
      </x:c>
      <x:c r="M15" s="54" t="str">
        <x:v>Continue monitoring and complete open maintenance actions.</x:v>
      </x:c>
      <x:c r="N15" s="54" t="str">
        <x:v>PA-204A-06</x:v>
      </x:c>
      <x:c r="O15" s="54" t="str">
        <x:v>Closed</x:v>
      </x:c>
      <x:c r="P15" s="54" t="str">
        <x:v>Shift Log / Demo Record</x:v>
      </x:c>
      <x:c r="Q15" s="54" t="str">
        <x:v>This event must not be interpreted as proof of full equipment health.</x:v>
      </x:c>
    </x:row>
    <x:row r="16">
      <x:c r="A16" s="54" t="str">
        <x:v>EVT-204A-015</x:v>
      </x:c>
      <x:c r="B16" s="57" t="n">
        <x:v>46280</x:v>
      </x:c>
      <x:c r="C16" s="54" t="str">
        <x:v>13:25</x:v>
      </x:c>
      <x:c r="D16" s="54" t="str">
        <x:v>P-204A</x:v>
      </x:c>
      <x:c r="E16" s="54" t="str">
        <x:v>Maintenance Records</x:v>
      </x:c>
      <x:c r="F16" s="54" t="str">
        <x:v>Procedure Reference</x:v>
      </x:c>
      <x:c r="G16" s="54" t="str">
        <x:v>Medium</x:v>
      </x:c>
      <x:c r="H16" s="54" t="str">
        <x:v>Control</x:v>
      </x:c>
      <x:c r="I16" s="54" t="str">
        <x:v>Maintenance Coordinator</x:v>
      </x:c>
      <x:c r="J16" s="54" t="str">
        <x:v>Maintenance team linked work scope to the approved maintenance procedure.</x:v>
      </x:c>
      <x:c r="K16" s="54" t="str">
        <x:v>Procedure compliance required before task execution.</x:v>
      </x:c>
      <x:c r="L16" s="54" t="str">
        <x:v>Procedure identified for use.</x:v>
      </x:c>
      <x:c r="M16" s="54" t="str">
        <x:v>Apply applicable pump maintenance procedure steps.</x:v>
      </x:c>
      <x:c r="N16" s="54" t="str">
        <x:v>PA-204A-06</x:v>
      </x:c>
      <x:c r="O16" s="54" t="str">
        <x:v>Monitoring</x:v>
      </x:c>
      <x:c r="P16" s="54" t="str">
        <x:v>Pump Maintenance Procedure</x:v>
      </x:c>
      <x:c r="Q16" s="54" t="str">
        <x:v>Use procedure for required checks, tools and acceptance criteria.</x:v>
      </x:c>
    </x:row>
  </x:sheetData>
  <x:conditionalFormatting sqref="G2:G100">
    <x:cfRule type="expression" dxfId="4" priority="1">
      <x:formula>G2="High"</x:formula>
    </x:cfRule>
    <x:cfRule type="expression" dxfId="5" priority="2">
      <x:formula>G2="Critical"</x:formula>
    </x:cfRule>
  </x:conditionalFormatting>
  <x:conditionalFormatting sqref="O2:O100">
    <x:cfRule type="expression" dxfId="6" priority="3">
      <x:formula>O2="Open"</x:formula>
    </x:cfRule>
    <x:cfRule type="expression" dxfId="7" priority="4">
      <x:formula>O2="Closed"</x:formula>
    </x:cfRule>
  </x:conditionalFormatting>
  <x:dataValidations count="3">
    <x:dataValidation type="list" sqref="G2:G100">
      <x:formula1>"Low,Medium,High,Critical"</x:formula1>
    </x:dataValidation>
    <x:dataValidation type="list" sqref="H2:H100">
      <x:formula1>"Informational,Warning,Control,Critical"</x:formula1>
    </x:dataValidation>
    <x:dataValidation type="list" sqref="O2:O100">
      <x:formula1>"Open,Monitoring,Closed"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4" hidden="0" customWidth="1"/>
    <x:col min="3" max="3" width="30" hidden="0" customWidth="1"/>
    <x:col min="4" max="4" width="28" hidden="0" customWidth="1"/>
    <x:col min="5" max="5" width="42" hidden="0" customWidth="1"/>
  </x:cols>
  <x:sheetData>
    <x:row r="1">
      <x:c r="A1" s="78" t="str">
        <x:v>P-204A — Event &amp; Alarm Taxonomy</x:v>
      </x:c>
    </x:row>
    <x:row r="3">
      <x:c r="A3" s="67" t="str">
        <x:v>Event Type</x:v>
      </x:c>
      <x:c r="B3" s="67" t="str">
        <x:v>Meaning</x:v>
      </x:c>
      <x:c r="C3" s="67" t="str">
        <x:v>Typical Source</x:v>
      </x:c>
      <x:c r="D3" s="67" t="str">
        <x:v>Demo Handling</x:v>
      </x:c>
      <x:c r="E3" s="67" t="str">
        <x:v>Grounding Note</x:v>
      </x:c>
    </x:row>
    <x:row r="4">
      <x:c r="A4" s="54" t="str">
        <x:v>Vibration Observation</x:v>
      </x:c>
      <x:c r="B4" s="54" t="str">
        <x:v>Operator or maintenance observation of vibration above expected normal condition.</x:v>
      </x:c>
      <x:c r="C4" s="54" t="str">
        <x:v>Field observation / maintenance coordination</x:v>
      </x:c>
      <x:c r="D4" s="54" t="str">
        <x:v>Open investigation</x:v>
      </x:c>
      <x:c r="E4" s="54" t="str">
        <x:v>Do not create a numerical value not present in source.</x:v>
      </x:c>
    </x:row>
    <x:row r="5">
      <x:c r="A5" s="54" t="str">
        <x:v>Mechanical Seal Leakage</x:v>
      </x:c>
      <x:c r="B5" s="54" t="str">
        <x:v>Visible leakage observation around mechanical-seal area.</x:v>
      </x:c>
      <x:c r="C5" s="54" t="str">
        <x:v>Field observation</x:v>
      </x:c>
      <x:c r="D5" s="54" t="str">
        <x:v>Inspect / monitor</x:v>
      </x:c>
      <x:c r="E5" s="54" t="str">
        <x:v>Observation is not equivalent to confirmed failure.</x:v>
      </x:c>
    </x:row>
    <x:row r="6">
      <x:c r="A6" s="54" t="str">
        <x:v>Status Review</x:v>
      </x:c>
      <x:c r="B6" s="54" t="str">
        <x:v>Control-room review of available indications or status.</x:v>
      </x:c>
      <x:c r="C6" s="54" t="str">
        <x:v>Control room</x:v>
      </x:c>
      <x:c r="D6" s="54" t="str">
        <x:v>Informational</x:v>
      </x:c>
      <x:c r="E6" s="54" t="str">
        <x:v>No emergency trip does not establish equipment health.</x:v>
      </x:c>
    </x:row>
    <x:row r="7">
      <x:c r="A7" s="54" t="str">
        <x:v>Maintenance Scope Review</x:v>
      </x:c>
      <x:c r="B7" s="54" t="str">
        <x:v>Review of open inspection/corrective work items.</x:v>
      </x:c>
      <x:c r="C7" s="54" t="str">
        <x:v>Maintenance coordinator</x:v>
      </x:c>
      <x:c r="D7" s="54" t="str">
        <x:v>Plan work</x:v>
      </x:c>
      <x:c r="E7" s="54" t="str">
        <x:v>Retrieve maintenance procedure for exact steps.</x:v>
      </x:c>
    </x:row>
    <x:row r="8">
      <x:c r="A8" s="54" t="str">
        <x:v>Safety Dependency</x:v>
      </x:c>
      <x:c r="B8" s="54" t="str">
        <x:v>Confirmation that maintenance requires approved safety controls.</x:v>
      </x:c>
      <x:c r="C8" s="54" t="str">
        <x:v>Maintenance coordinator / safety</x:v>
      </x:c>
      <x:c r="D8" s="54" t="str">
        <x:v>Control point</x:v>
      </x:c>
      <x:c r="E8" s="54" t="str">
        <x:v>Detailed LOTO requirements come from safety procedure.</x:v>
      </x:c>
    </x:row>
    <x:row r="9">
      <x:c r="A9" s="54" t="str">
        <x:v>Handover</x:v>
      </x:c>
      <x:c r="B9" s="54" t="str">
        <x:v>Information transferred to next responsible shift/team.</x:v>
      </x:c>
      <x:c r="C9" s="54" t="str">
        <x:v>Shift operations</x:v>
      </x:c>
      <x:c r="D9" s="54" t="str">
        <x:v>Monitoring</x:v>
      </x:c>
      <x:c r="E9" s="54" t="str">
        <x:v>Use only documented handover items.</x:v>
      </x:c>
    </x:row>
    <x:row r="10">
      <x:c r="A10" s="54" t="str">
        <x:v>Bearing Inspection Pending</x:v>
      </x:c>
      <x:c r="B10" s="54" t="str">
        <x:v>Bearing condition check remains outstanding.</x:v>
      </x:c>
      <x:c r="C10" s="54" t="str">
        <x:v>Maintenance planning</x:v>
      </x:c>
      <x:c r="D10" s="54" t="str">
        <x:v>Open action</x:v>
      </x:c>
      <x:c r="E10" s="54" t="str">
        <x:v>No bearing health value should be invented.</x:v>
      </x:c>
    </x:row>
    <x:row r="11">
      <x:c r="A11" s="54" t="str">
        <x:v>Alignment Follow-up</x:v>
      </x:c>
      <x:c r="B11" s="54" t="str">
        <x:v>Coupling/alignment verification remains outstanding.</x:v>
      </x:c>
      <x:c r="C11" s="54" t="str">
        <x:v>Maintenance planning</x:v>
      </x:c>
      <x:c r="D11" s="54" t="str">
        <x:v>Open action</x:v>
      </x:c>
      <x:c r="E11" s="54" t="str">
        <x:v>Use procedure acceptance criteria.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" hidden="0" customWidth="1"/>
    <x:col min="4" max="4" width="30" hidden="0" customWidth="1"/>
    <x:col min="5" max="5" width="14" hidden="0" customWidth="1"/>
    <x:col min="6" max="6" width="14" hidden="0" customWidth="1"/>
  </x:cols>
  <x:sheetData>
    <x:row r="1">
      <x:c r="A1" s="78" t="str">
        <x:v>P-204A — Event Frequency Snapshot</x:v>
      </x:c>
    </x:row>
    <x:row r="3">
      <x:c r="A3" s="22" t="str">
        <x:v>Date</x:v>
      </x:c>
      <x:c r="B3" s="22" t="str">
        <x:v>Recorded Events</x:v>
      </x:c>
      <x:c r="D3" s="31" t="str">
        <x:v>Event Type</x:v>
      </x:c>
      <x:c r="E3" s="31" t="str">
        <x:v>Count</x:v>
      </x:c>
    </x:row>
    <x:row r="4">
      <x:c r="A4" s="81" t="n">
        <x:v>46280</x:v>
      </x:c>
      <x:c r="B4" s="28" t="n">
        <x:f>COUNTIF('Detailed Event Log'!B:B,A4)</x:f>
        <x:v>2</x:v>
      </x:c>
      <x:c r="D4" s="28" t="str">
        <x:v>Vibration Observation</x:v>
      </x:c>
      <x:c r="E4" s="28" t="n">
        <x:f>COUNTIF('Detailed Event Log'!F:F,D4)</x:f>
        <x:v>1</x:v>
      </x:c>
    </x:row>
    <x:row r="5">
      <x:c r="A5" s="81" t="n">
        <x:v>46281</x:v>
      </x:c>
      <x:c r="B5" s="28" t="n">
        <x:f>COUNTIF('Detailed Event Log'!B:B,A5)</x:f>
        <x:v>3</x:v>
      </x:c>
      <x:c r="D5" s="28" t="str">
        <x:v>Mechanical Seal Leakage</x:v>
      </x:c>
      <x:c r="E5" s="28" t="n">
        <x:f>COUNTIF('Detailed Event Log'!F:F,D5)</x:f>
        <x:v>1</x:v>
      </x:c>
    </x:row>
    <x:row r="6">
      <x:c r="A6" s="81" t="n">
        <x:v>46282</x:v>
      </x:c>
      <x:c r="B6" s="28" t="n">
        <x:f>COUNTIF('Detailed Event Log'!B:B,A6)</x:f>
        <x:v>3</x:v>
      </x:c>
      <x:c r="D6" s="28" t="str">
        <x:v>Bearing Inspection Pending</x:v>
      </x:c>
      <x:c r="E6" s="28" t="n">
        <x:f>COUNTIF('Detailed Event Log'!F:F,D6)</x:f>
        <x:v>1</x:v>
      </x:c>
    </x:row>
    <x:row r="7">
      <x:c r="A7" s="81" t="n">
        <x:v>46283</x:v>
      </x:c>
      <x:c r="B7" s="28" t="n">
        <x:f>COUNTIF('Detailed Event Log'!B:B,A7)</x:f>
        <x:v>7</x:v>
      </x:c>
      <x:c r="D7" s="28" t="str">
        <x:v>Alignment Follow-up</x:v>
      </x:c>
      <x:c r="E7" s="28" t="n">
        <x:f>COUNTIF('Detailed Event Log'!F:F,D7)</x:f>
        <x:v>1</x:v>
      </x:c>
    </x:row>
    <x:row r="8">
      <x:c r="D8" s="28" t="str">
        <x:v>Safety Dependency</x:v>
      </x:c>
      <x:c r="E8" s="28" t="n">
        <x:f>COUNTIF('Detailed Event Log'!F:F,D8)</x:f>
        <x:v>1</x:v>
      </x:c>
    </x:row>
    <x:row r="10">
      <x:c r="A10" s="85" t="str">
        <x:v>Interpretation note: this sheet counts recorded events only. It is not a sensor trend and must not be presented as vibration/pressure/temperature data.</x:v>
      </x:c>
      <x:c r="B10" s="85"/>
      <x:c r="C10" s="85"/>
      <x:c r="D10" s="85"/>
      <x:c r="E10" s="85"/>
      <x:c r="F10" s="85"/>
    </x:row>
    <x:row r="11">
      <x:c r="A11" s="85"/>
      <x:c r="B11" s="85"/>
      <x:c r="C11" s="85"/>
      <x:c r="D11" s="85"/>
      <x:c r="E11" s="85"/>
      <x:c r="F11" s="85"/>
    </x:row>
    <x:row r="12">
      <x:c r="A12" s="85"/>
      <x:c r="B12" s="85"/>
      <x:c r="C12" s="85"/>
      <x:c r="D12" s="85"/>
      <x:c r="E12" s="85"/>
      <x:c r="F12" s="85"/>
    </x:row>
  </x:sheetData>
  <x:mergeCells>
    <x:mergeCell ref="A1:F1"/>
    <x:mergeCell ref="A10:F12"/>
  </x:mergeCells>
  <x:pageMargins left="0.7" right="0.7" top="0.75" bottom="0.75" header="0.3" footer="0.3"/>
  <x:drawing xmlns:r="http://schemas.openxmlformats.org/officeDocument/2006/relationships" r:id="R1cdef45371ca4acb"/>
</x:worksheet>
</file>