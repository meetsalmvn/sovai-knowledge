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pection_Dates" sheetId="1" state="visible" r:id="rId3"/>
    <sheet name="TML_Readings" sheetId="2" state="visible" r:id="rId4"/>
    <sheet name="ECT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<sst xmlns="http://schemas.openxmlformats.org/spreadsheetml/2006/main" count="66" uniqueCount="60">
  <si>
    <t xml:space="preserve">Inspection</t>
  </si>
  <si>
    <t xml:space="preserve">Date</t>
  </si>
  <si>
    <t xml:space="preserve">Type</t>
  </si>
  <si>
    <t xml:space="preserve">Interval from previous (years)</t>
  </si>
  <si>
    <t xml:space="preserve">IR-2019-03</t>
  </si>
  <si>
    <t xml:space="preserve">Turnaround</t>
  </si>
  <si>
    <t xml:space="preserve">IR-2023-11</t>
  </si>
  <si>
    <t xml:space="preserve">Opportunity shutdown</t>
  </si>
  <si>
    <t xml:space="preserve">IR-2025-04</t>
  </si>
  <si>
    <t xml:space="preserve">Planned shutdown</t>
  </si>
  <si>
    <t xml:space="preserve">IR-2025-06</t>
  </si>
  <si>
    <t xml:space="preserve">Emergency (post product failure)</t>
  </si>
  <si>
    <t xml:space="preserve">SYNTHETIC / DUMMY DATA. Blue = typed inputs. Last two inspections by date: IR-2025-04 and IR-2025-06.</t>
  </si>
  <si>
    <t xml:space="preserve">TML ID</t>
  </si>
  <si>
    <t xml:space="preserve">Location</t>
  </si>
  <si>
    <t xml:space="preserve">Nominal (mm)</t>
  </si>
  <si>
    <t xml:space="preserve">Minimum Required (mm)</t>
  </si>
  <si>
    <t xml:space="preserve">IR-2019-03 (mm)</t>
  </si>
  <si>
    <t xml:space="preserve">IR-2023-11 (mm)</t>
  </si>
  <si>
    <t xml:space="preserve">IR-2025-04 (mm)</t>
  </si>
  <si>
    <t xml:space="preserve">IR-2025-06 (mm)</t>
  </si>
  <si>
    <t xml:space="preserve">Change: last two (mm)</t>
  </si>
  <si>
    <t xml:space="preserve">Change: previous two (mm)</t>
  </si>
  <si>
    <t xml:space="preserve">Total loss since 2019 (mm)</t>
  </si>
  <si>
    <t xml:space="preserve">Rate 2019-2023 (mm/yr)</t>
  </si>
  <si>
    <t xml:space="preserve">Rate 2023-Apr 2025 (mm/yr)</t>
  </si>
  <si>
    <t xml:space="preserve">Rate Apr-Jun 2025 (mm/yr)</t>
  </si>
  <si>
    <t xml:space="preserve">Margin over minimum (mm)</t>
  </si>
  <si>
    <t xml:space="preserve">Remaining life at 2023-25 rate (yrs)</t>
  </si>
  <si>
    <t xml:space="preserve">TML-01</t>
  </si>
  <si>
    <t xml:space="preserve">Tube row 1, inlet end</t>
  </si>
  <si>
    <t xml:space="preserve">TML-02</t>
  </si>
  <si>
    <t xml:space="preserve">Tube row 2, inlet end</t>
  </si>
  <si>
    <t xml:space="preserve">TML-03</t>
  </si>
  <si>
    <t xml:space="preserve">Tube row 4, inlet end</t>
  </si>
  <si>
    <t xml:space="preserve">TML-04</t>
  </si>
  <si>
    <t xml:space="preserve">Tube row 8, mid bundle</t>
  </si>
  <si>
    <t xml:space="preserve">TML-05</t>
  </si>
  <si>
    <t xml:space="preserve">Tube row 15, outlet region</t>
  </si>
  <si>
    <t xml:space="preserve">TML-06</t>
  </si>
  <si>
    <t xml:space="preserve">Shell nozzle N1 (effluent inlet)</t>
  </si>
  <si>
    <t xml:space="preserve">TML-07</t>
  </si>
  <si>
    <t xml:space="preserve">Channel barrel</t>
  </si>
  <si>
    <t xml:space="preserve">Previously Plugged</t>
  </si>
  <si>
    <t xml:space="preserve">&lt;20 % loss</t>
  </si>
  <si>
    <t xml:space="preserve">20-39 %</t>
  </si>
  <si>
    <t xml:space="preserve">40-59 %</t>
  </si>
  <si>
    <t xml:space="preserve">60-79 %</t>
  </si>
  <si>
    <t xml:space="preserve">≥80 %</t>
  </si>
  <si>
    <t xml:space="preserve">Total tubes</t>
  </si>
  <si>
    <t xml:space="preserve">Above 60 % loss (unplugged as-found)</t>
  </si>
  <si>
    <t xml:space="preserve">Plugged at this inspection</t>
  </si>
  <si>
    <t xml:space="preserve">Cumulative plugged</t>
  </si>
  <si>
    <t xml:space="preserve">Plugged share of 640</t>
  </si>
  <si>
    <t xml:space="preserve">Change between the last two inspections (IR-2025-06 minus IR-2025-04)</t>
  </si>
  <si>
    <t xml:space="preserve">Tubes 40-59 % loss</t>
  </si>
  <si>
    <t xml:space="preserve">Tubes 60-79 % loss</t>
  </si>
  <si>
    <t xml:space="preserve">Tubes ≥80 % loss</t>
  </si>
  <si>
    <t xml:space="preserve">Above 60 % loss (as-found)</t>
  </si>
  <si>
    <t xml:space="preserve">Note: as-found classification covers all 640 tubes before plugging at that inspection. IR-2025-06 also had 14 leaking tubes found by hydrotest (all plugged).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</si>
</sst>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0"/>
    <numFmt numFmtId="167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2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43542</v>
      </c>
      <c r="C2" s="2" t="s">
        <v>5</v>
      </c>
    </row>
    <row r="3" customFormat="false" ht="15" hidden="false" customHeight="false" outlineLevel="0" collapsed="false">
      <c r="A3" s="2" t="s">
        <v>6</v>
      </c>
      <c r="B3" s="3" t="n">
        <v>45239</v>
      </c>
      <c r="C3" s="2" t="s">
        <v>7</v>
      </c>
      <c r="D3" s="4" t="n">
        <f aca="false">(B3-B2)/365.25</f>
        <v>4.64613278576318</v>
      </c>
    </row>
    <row r="4" customFormat="false" ht="15" hidden="false" customHeight="false" outlineLevel="0" collapsed="false">
      <c r="A4" s="2" t="s">
        <v>8</v>
      </c>
      <c r="B4" s="3" t="n">
        <v>45761</v>
      </c>
      <c r="C4" s="2" t="s">
        <v>9</v>
      </c>
      <c r="D4" s="4" t="n">
        <f aca="false">(B4-B3)/365.25</f>
        <v>1.42915811088296</v>
      </c>
    </row>
    <row r="5" customFormat="false" ht="15" hidden="false" customHeight="false" outlineLevel="0" collapsed="false">
      <c r="A5" s="2" t="s">
        <v>10</v>
      </c>
      <c r="B5" s="3" t="n">
        <v>45824</v>
      </c>
      <c r="C5" s="2" t="s">
        <v>11</v>
      </c>
      <c r="D5" s="4" t="n">
        <f aca="false">(B5-B4)/365.25</f>
        <v>0.172484599589322</v>
      </c>
    </row>
    <row r="8" customFormat="false" ht="15" hidden="false" customHeight="false" outlineLevel="0" collapsed="false">
      <c r="A8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16" min="3" style="0" width="13"/>
  </cols>
  <sheetData>
    <row r="1" customFormat="false" ht="45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</row>
    <row r="2" customFormat="false" ht="15" hidden="false" customHeight="false" outlineLevel="0" collapsed="false">
      <c r="A2" s="6" t="s">
        <v>29</v>
      </c>
      <c r="B2" s="6" t="s">
        <v>30</v>
      </c>
      <c r="C2" s="7" t="n">
        <v>2.77</v>
      </c>
      <c r="D2" s="7" t="n">
        <v>1.9</v>
      </c>
      <c r="E2" s="7" t="n">
        <v>2.45</v>
      </c>
      <c r="F2" s="7" t="n">
        <v>2.31</v>
      </c>
      <c r="G2" s="7" t="n">
        <v>2.14</v>
      </c>
      <c r="H2" s="7" t="n">
        <v>2.08</v>
      </c>
      <c r="I2" s="8" t="n">
        <f aca="false">H2-G2</f>
        <v>-0.0600000000000001</v>
      </c>
      <c r="J2" s="8" t="n">
        <f aca="false">G2-F2</f>
        <v>-0.17</v>
      </c>
      <c r="K2" s="8" t="n">
        <f aca="false">E2-H2</f>
        <v>0.37</v>
      </c>
      <c r="L2" s="8" t="n">
        <f aca="false">(E2-F2)/Inspection_Dates!$D$3</f>
        <v>0.0301325869180908</v>
      </c>
      <c r="M2" s="8" t="n">
        <f aca="false">(F2-G2)/Inspection_Dates!$D$4</f>
        <v>0.118951149425287</v>
      </c>
      <c r="N2" s="8" t="n">
        <f aca="false">(G2-H2)/Inspection_Dates!$D$5</f>
        <v>0.347857142857143</v>
      </c>
      <c r="O2" s="8" t="n">
        <f aca="false">H2-D2</f>
        <v>0.18</v>
      </c>
      <c r="P2" s="8" t="n">
        <f aca="false">IF(M2&gt;0,O2/M2,"n/a")</f>
        <v>1.51322623505254</v>
      </c>
    </row>
    <row r="3" customFormat="false" ht="15" hidden="false" customHeight="false" outlineLevel="0" collapsed="false">
      <c r="A3" s="6" t="s">
        <v>31</v>
      </c>
      <c r="B3" s="6" t="s">
        <v>32</v>
      </c>
      <c r="C3" s="7" t="n">
        <v>2.77</v>
      </c>
      <c r="D3" s="7" t="n">
        <v>1.9</v>
      </c>
      <c r="E3" s="7" t="n">
        <v>2.6</v>
      </c>
      <c r="F3" s="7" t="n">
        <v>2.38</v>
      </c>
      <c r="G3" s="7" t="n">
        <v>2.19</v>
      </c>
      <c r="H3" s="7" t="n">
        <v>2.13</v>
      </c>
      <c r="I3" s="8" t="n">
        <f aca="false">H3-G3</f>
        <v>-0.0600000000000001</v>
      </c>
      <c r="J3" s="8" t="n">
        <f aca="false">G3-F3</f>
        <v>-0.19</v>
      </c>
      <c r="K3" s="8" t="n">
        <f aca="false">E3-H3</f>
        <v>0.47</v>
      </c>
      <c r="L3" s="8" t="n">
        <f aca="false">(E3-F3)/Inspection_Dates!$D$3</f>
        <v>0.0473512080141426</v>
      </c>
      <c r="M3" s="8" t="n">
        <f aca="false">(F3-G3)/Inspection_Dates!$D$4</f>
        <v>0.132945402298851</v>
      </c>
      <c r="N3" s="8" t="n">
        <f aca="false">(G3-H3)/Inspection_Dates!$D$5</f>
        <v>0.347857142857143</v>
      </c>
      <c r="O3" s="8" t="n">
        <f aca="false">H3-D3</f>
        <v>0.23</v>
      </c>
      <c r="P3" s="8" t="n">
        <f aca="false">IF(M3&gt;0,O3/M3,"n/a")</f>
        <v>1.73003350264779</v>
      </c>
    </row>
    <row r="4" customFormat="false" ht="15" hidden="false" customHeight="false" outlineLevel="0" collapsed="false">
      <c r="A4" s="6" t="s">
        <v>33</v>
      </c>
      <c r="B4" s="6" t="s">
        <v>34</v>
      </c>
      <c r="C4" s="7" t="n">
        <v>2.77</v>
      </c>
      <c r="D4" s="7" t="n">
        <v>1.9</v>
      </c>
      <c r="E4" s="7" t="n">
        <v>2.7</v>
      </c>
      <c r="F4" s="7" t="n">
        <v>2.49</v>
      </c>
      <c r="G4" s="7" t="n">
        <v>2.3</v>
      </c>
      <c r="H4" s="7" t="n">
        <v>2.26</v>
      </c>
      <c r="I4" s="8" t="n">
        <f aca="false">H4-G4</f>
        <v>-0.04</v>
      </c>
      <c r="J4" s="8" t="n">
        <f aca="false">G4-F4</f>
        <v>-0.19</v>
      </c>
      <c r="K4" s="8" t="n">
        <f aca="false">E4-H4</f>
        <v>0.44</v>
      </c>
      <c r="L4" s="8" t="n">
        <f aca="false">(E4-F4)/Inspection_Dates!$D$3</f>
        <v>0.0451988803771361</v>
      </c>
      <c r="M4" s="8" t="n">
        <f aca="false">(F4-G4)/Inspection_Dates!$D$4</f>
        <v>0.132945402298851</v>
      </c>
      <c r="N4" s="8" t="n">
        <f aca="false">(G4-H4)/Inspection_Dates!$D$5</f>
        <v>0.231904761904762</v>
      </c>
      <c r="O4" s="8" t="n">
        <f aca="false">H4-D4</f>
        <v>0.36</v>
      </c>
      <c r="P4" s="8" t="n">
        <f aca="false">IF(M4&gt;0,O4/M4,"n/a")</f>
        <v>2.70787852588349</v>
      </c>
    </row>
    <row r="5" customFormat="false" ht="15" hidden="false" customHeight="false" outlineLevel="0" collapsed="false">
      <c r="A5" s="6" t="s">
        <v>35</v>
      </c>
      <c r="B5" s="6" t="s">
        <v>36</v>
      </c>
      <c r="C5" s="7" t="n">
        <v>2.77</v>
      </c>
      <c r="D5" s="7" t="n">
        <v>1.9</v>
      </c>
      <c r="E5" s="7" t="n">
        <v>2.73</v>
      </c>
      <c r="F5" s="7" t="n">
        <v>2.62</v>
      </c>
      <c r="G5" s="7" t="n">
        <v>2.52</v>
      </c>
      <c r="H5" s="7" t="n">
        <v>2.5</v>
      </c>
      <c r="I5" s="8" t="n">
        <f aca="false">H5-G5</f>
        <v>-0.02</v>
      </c>
      <c r="J5" s="8" t="n">
        <f aca="false">G5-F5</f>
        <v>-0.1</v>
      </c>
      <c r="K5" s="8" t="n">
        <f aca="false">E5-H5</f>
        <v>0.23</v>
      </c>
      <c r="L5" s="8" t="n">
        <f aca="false">(E5-F5)/Inspection_Dates!$D$3</f>
        <v>0.0236756040070713</v>
      </c>
      <c r="M5" s="8" t="n">
        <f aca="false">(F5-G5)/Inspection_Dates!$D$4</f>
        <v>0.0699712643678161</v>
      </c>
      <c r="N5" s="8" t="n">
        <f aca="false">(G5-H5)/Inspection_Dates!$D$5</f>
        <v>0.115952380952381</v>
      </c>
      <c r="O5" s="8" t="n">
        <f aca="false">H5-D5</f>
        <v>0.6</v>
      </c>
      <c r="P5" s="8" t="n">
        <f aca="false">IF(M5&gt;0,O5/M5,"n/a")</f>
        <v>8.57494866529774</v>
      </c>
    </row>
    <row r="6" customFormat="false" ht="15" hidden="false" customHeight="false" outlineLevel="0" collapsed="false">
      <c r="A6" s="6" t="s">
        <v>37</v>
      </c>
      <c r="B6" s="6" t="s">
        <v>38</v>
      </c>
      <c r="C6" s="7" t="n">
        <v>2.77</v>
      </c>
      <c r="D6" s="7" t="n">
        <v>1.9</v>
      </c>
      <c r="E6" s="7" t="n">
        <v>2.75</v>
      </c>
      <c r="F6" s="7" t="n">
        <v>2.7</v>
      </c>
      <c r="G6" s="7" t="n">
        <v>2.66</v>
      </c>
      <c r="H6" s="7" t="n">
        <v>2.65</v>
      </c>
      <c r="I6" s="8" t="n">
        <f aca="false">H6-G6</f>
        <v>-0.0100000000000002</v>
      </c>
      <c r="J6" s="8" t="n">
        <f aca="false">G6-F6</f>
        <v>-0.04</v>
      </c>
      <c r="K6" s="8" t="n">
        <f aca="false">E6-H6</f>
        <v>0.1</v>
      </c>
      <c r="L6" s="8" t="n">
        <f aca="false">(E6-F6)/Inspection_Dates!$D$3</f>
        <v>0.0107616381850324</v>
      </c>
      <c r="M6" s="8" t="n">
        <f aca="false">(F6-G6)/Inspection_Dates!$D$4</f>
        <v>0.0279885057471265</v>
      </c>
      <c r="N6" s="8" t="n">
        <f aca="false">(G6-H6)/Inspection_Dates!$D$5</f>
        <v>0.0579761904761918</v>
      </c>
      <c r="O6" s="8" t="n">
        <f aca="false">H6-D6</f>
        <v>0.75</v>
      </c>
      <c r="P6" s="8" t="n">
        <f aca="false">IF(M6&gt;0,O6/M6,"n/a")</f>
        <v>26.7967145790554</v>
      </c>
    </row>
    <row r="7" customFormat="false" ht="15" hidden="false" customHeight="false" outlineLevel="0" collapsed="false">
      <c r="A7" s="6" t="s">
        <v>39</v>
      </c>
      <c r="B7" s="6" t="s">
        <v>40</v>
      </c>
      <c r="C7" s="7" t="n">
        <v>12.7</v>
      </c>
      <c r="D7" s="7" t="n">
        <v>9.5</v>
      </c>
      <c r="E7" s="7" t="n">
        <v>12.4</v>
      </c>
      <c r="F7" s="7" t="n">
        <v>12.3</v>
      </c>
      <c r="G7" s="7" t="n">
        <v>12.25</v>
      </c>
      <c r="H7" s="7" t="n">
        <v>12.25</v>
      </c>
      <c r="I7" s="8" t="n">
        <f aca="false">H7-G7</f>
        <v>0</v>
      </c>
      <c r="J7" s="8" t="n">
        <f aca="false">G7-F7</f>
        <v>-0.0500000000000007</v>
      </c>
      <c r="K7" s="8" t="n">
        <f aca="false">E7-H7</f>
        <v>0.15</v>
      </c>
      <c r="L7" s="8" t="n">
        <f aca="false">(E7-F7)/Inspection_Dates!$D$3</f>
        <v>0.0215232763700647</v>
      </c>
      <c r="M7" s="8" t="n">
        <f aca="false">(F7-G7)/Inspection_Dates!$D$4</f>
        <v>0.0349856321839085</v>
      </c>
      <c r="N7" s="8" t="n">
        <f aca="false">(G7-H7)/Inspection_Dates!$D$5</f>
        <v>0</v>
      </c>
      <c r="O7" s="8" t="n">
        <f aca="false">H7-D7</f>
        <v>2.75</v>
      </c>
      <c r="P7" s="8" t="n">
        <f aca="false">IF(M7&gt;0,O7/M7,"n/a")</f>
        <v>78.6036960985615</v>
      </c>
    </row>
    <row r="8" customFormat="false" ht="15" hidden="false" customHeight="false" outlineLevel="0" collapsed="false">
      <c r="A8" s="6" t="s">
        <v>41</v>
      </c>
      <c r="B8" s="6" t="s">
        <v>42</v>
      </c>
      <c r="C8" s="7" t="n">
        <v>45</v>
      </c>
      <c r="D8" s="7" t="n">
        <v>40</v>
      </c>
      <c r="E8" s="7" t="n">
        <v>44.6</v>
      </c>
      <c r="F8" s="7" t="n">
        <v>44.5</v>
      </c>
      <c r="G8" s="7" t="n">
        <v>44.4</v>
      </c>
      <c r="H8" s="7" t="n">
        <v>44.4</v>
      </c>
      <c r="I8" s="8" t="n">
        <f aca="false">H8-G8</f>
        <v>0</v>
      </c>
      <c r="J8" s="8" t="n">
        <f aca="false">G8-F8</f>
        <v>-0.100000000000001</v>
      </c>
      <c r="K8" s="8" t="n">
        <f aca="false">E8-H8</f>
        <v>0.200000000000003</v>
      </c>
      <c r="L8" s="8" t="n">
        <f aca="false">(E8-F8)/Inspection_Dates!$D$3</f>
        <v>0.0215232763700651</v>
      </c>
      <c r="M8" s="8" t="n">
        <f aca="false">(F8-G8)/Inspection_Dates!$D$4</f>
        <v>0.0699712643678171</v>
      </c>
      <c r="N8" s="8" t="n">
        <f aca="false">(G8-H8)/Inspection_Dates!$D$5</f>
        <v>0</v>
      </c>
      <c r="O8" s="8" t="n">
        <f aca="false">H8-D8</f>
        <v>4.4</v>
      </c>
      <c r="P8" s="8" t="n">
        <f aca="false">IF(M8&gt;0,O8/M8,"n/a")</f>
        <v>62.8829568788492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8" min="3" style="0" width="10"/>
    <col collapsed="false" customWidth="true" hidden="false" outlineLevel="0" max="9" min="9" style="0" width="18"/>
    <col collapsed="false" customWidth="true" hidden="false" outlineLevel="0" max="12" min="10" style="0" width="14"/>
  </cols>
  <sheetData>
    <row r="1" customFormat="false" ht="45" hidden="false" customHeight="true" outlineLevel="0" collapsed="false">
      <c r="A1" s="5" t="s">
        <v>0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  <c r="K1" s="5" t="s">
        <v>52</v>
      </c>
      <c r="L1" s="5" t="s">
        <v>53</v>
      </c>
    </row>
    <row r="2" customFormat="false" ht="15" hidden="false" customHeight="false" outlineLevel="0" collapsed="false">
      <c r="A2" s="6" t="s">
        <v>4</v>
      </c>
      <c r="B2" s="9" t="n">
        <v>0</v>
      </c>
      <c r="C2" s="9" t="n">
        <v>628</v>
      </c>
      <c r="D2" s="9" t="n">
        <v>12</v>
      </c>
      <c r="E2" s="9" t="n">
        <v>0</v>
      </c>
      <c r="F2" s="9" t="n">
        <v>0</v>
      </c>
      <c r="G2" s="9" t="n">
        <v>0</v>
      </c>
      <c r="H2" s="6" t="n">
        <f aca="false">SUM(B2:G2)</f>
        <v>640</v>
      </c>
      <c r="I2" s="6" t="n">
        <f aca="false">F2+G2</f>
        <v>0</v>
      </c>
      <c r="J2" s="9" t="n">
        <v>0</v>
      </c>
      <c r="K2" s="6" t="n">
        <f aca="false">B2+J2</f>
        <v>0</v>
      </c>
      <c r="L2" s="10" t="n">
        <f aca="false">K2/H2</f>
        <v>0</v>
      </c>
    </row>
    <row r="3" customFormat="false" ht="15" hidden="false" customHeight="false" outlineLevel="0" collapsed="false">
      <c r="A3" s="6" t="s">
        <v>6</v>
      </c>
      <c r="B3" s="9" t="n">
        <v>0</v>
      </c>
      <c r="C3" s="9" t="n">
        <v>561</v>
      </c>
      <c r="D3" s="9" t="n">
        <v>47</v>
      </c>
      <c r="E3" s="9" t="n">
        <v>23</v>
      </c>
      <c r="F3" s="9" t="n">
        <v>9</v>
      </c>
      <c r="G3" s="9" t="n">
        <v>0</v>
      </c>
      <c r="H3" s="6" t="n">
        <f aca="false">SUM(B3:G3)</f>
        <v>640</v>
      </c>
      <c r="I3" s="6" t="n">
        <f aca="false">F3+G3</f>
        <v>9</v>
      </c>
      <c r="J3" s="9" t="n">
        <v>4</v>
      </c>
      <c r="K3" s="6" t="n">
        <f aca="false">B3+J3</f>
        <v>4</v>
      </c>
      <c r="L3" s="10" t="n">
        <f aca="false">K3/H3</f>
        <v>0.00625</v>
      </c>
    </row>
    <row r="4" customFormat="false" ht="15" hidden="false" customHeight="false" outlineLevel="0" collapsed="false">
      <c r="A4" s="6" t="s">
        <v>8</v>
      </c>
      <c r="B4" s="9" t="n">
        <v>4</v>
      </c>
      <c r="C4" s="9" t="n">
        <v>498</v>
      </c>
      <c r="D4" s="9" t="n">
        <v>71</v>
      </c>
      <c r="E4" s="9" t="n">
        <v>40</v>
      </c>
      <c r="F4" s="9" t="n">
        <v>20</v>
      </c>
      <c r="G4" s="9" t="n">
        <v>7</v>
      </c>
      <c r="H4" s="6" t="n">
        <f aca="false">SUM(B4:G4)</f>
        <v>640</v>
      </c>
      <c r="I4" s="6" t="n">
        <f aca="false">F4+G4</f>
        <v>27</v>
      </c>
      <c r="J4" s="9" t="n">
        <v>7</v>
      </c>
      <c r="K4" s="6" t="n">
        <f aca="false">B4+J4</f>
        <v>11</v>
      </c>
      <c r="L4" s="10" t="n">
        <f aca="false">K4/H4</f>
        <v>0.0171875</v>
      </c>
    </row>
    <row r="5" customFormat="false" ht="15" hidden="false" customHeight="false" outlineLevel="0" collapsed="false">
      <c r="A5" s="6" t="s">
        <v>10</v>
      </c>
      <c r="B5" s="9" t="n">
        <v>11</v>
      </c>
      <c r="C5" s="9" t="n">
        <v>471</v>
      </c>
      <c r="D5" s="9" t="n">
        <v>78</v>
      </c>
      <c r="E5" s="9" t="n">
        <v>44</v>
      </c>
      <c r="F5" s="9" t="n">
        <v>24</v>
      </c>
      <c r="G5" s="9" t="n">
        <v>12</v>
      </c>
      <c r="H5" s="6" t="n">
        <f aca="false">SUM(B5:G5)</f>
        <v>640</v>
      </c>
      <c r="I5" s="6" t="n">
        <f aca="false">F5+G5</f>
        <v>36</v>
      </c>
      <c r="J5" s="9" t="n">
        <v>14</v>
      </c>
      <c r="K5" s="6" t="n">
        <f aca="false">B5+J5</f>
        <v>25</v>
      </c>
      <c r="L5" s="10" t="n">
        <f aca="false">K5/H5</f>
        <v>0.0390625</v>
      </c>
    </row>
    <row r="7" customFormat="false" ht="15" hidden="false" customHeight="false" outlineLevel="0" collapsed="false">
      <c r="A7" s="11" t="s">
        <v>54</v>
      </c>
    </row>
    <row r="8" customFormat="false" ht="15" hidden="false" customHeight="false" outlineLevel="0" collapsed="false">
      <c r="A8" s="2" t="s">
        <v>52</v>
      </c>
      <c r="B8" s="2" t="n">
        <f aca="false">K5-K4</f>
        <v>14</v>
      </c>
    </row>
    <row r="9" customFormat="false" ht="15" hidden="false" customHeight="false" outlineLevel="0" collapsed="false">
      <c r="A9" s="2" t="s">
        <v>55</v>
      </c>
      <c r="B9" s="2" t="n">
        <f aca="false">E5-E4</f>
        <v>4</v>
      </c>
    </row>
    <row r="10" customFormat="false" ht="15" hidden="false" customHeight="false" outlineLevel="0" collapsed="false">
      <c r="A10" s="2" t="s">
        <v>56</v>
      </c>
      <c r="B10" s="2" t="n">
        <f aca="false">F5-F4</f>
        <v>4</v>
      </c>
    </row>
    <row r="11" customFormat="false" ht="15" hidden="false" customHeight="false" outlineLevel="0" collapsed="false">
      <c r="A11" s="2" t="s">
        <v>57</v>
      </c>
      <c r="B11" s="2" t="n">
        <f aca="false">G5-G4</f>
        <v>5</v>
      </c>
    </row>
    <row r="12" customFormat="false" ht="15" hidden="false" customHeight="false" outlineLevel="0" collapsed="false">
      <c r="A12" s="2" t="s">
        <v>58</v>
      </c>
      <c r="B12" s="2" t="n">
        <f aca="false">I5-I4</f>
        <v>9</v>
      </c>
    </row>
    <row r="14" customFormat="false" ht="15" hidden="false" customHeight="false" outlineLevel="0" collapsed="false">
      <c r="A14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2026-09-20T18:30:35Z</dcterms:created>
  <dc:creator>openpyxl</dc:creator>
  <dc:description/>
  <dc:language>en-US</dc:language>
  <cp:lastModifiedBy/>
  <dcterms:modified xsi:type="dcterms:W3CDTF">2026-09-20T18:30:35Z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