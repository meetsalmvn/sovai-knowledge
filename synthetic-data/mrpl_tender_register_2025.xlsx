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ender_Register" sheetId="1" state="visible" r:id="rId3"/>
    <sheet name="Doc_Purchase_Log" sheetId="2" state="visible" r:id="rId4"/>
    <sheet name="Bid_Evaluation_0412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<sst xmlns="http://schemas.openxmlformats.org/spreadsheetml/2006/main" count="141" uniqueCount="100">
  <si>
    <t xml:space="preserve">Tender No</t>
  </si>
  <si>
    <t xml:space="preserve">Title</t>
  </si>
  <si>
    <t xml:space="preserve">Department</t>
  </si>
  <si>
    <t xml:space="preserve">NIT / Published Date</t>
  </si>
  <si>
    <t xml:space="preserve">Estimated Cost (INR crore)</t>
  </si>
  <si>
    <t xml:space="preserve">Bid Due Date</t>
  </si>
  <si>
    <t xml:space="preserve">Bid Opening Date</t>
  </si>
  <si>
    <t xml:space="preserve">Documents Purchased (count)</t>
  </si>
  <si>
    <t xml:space="preserve">Bids Received (count)</t>
  </si>
  <si>
    <t xml:space="preserve">Status</t>
  </si>
  <si>
    <t xml:space="preserve">Awardee</t>
  </si>
  <si>
    <t xml:space="preserve">Awarded Value (INR crore)</t>
  </si>
  <si>
    <t xml:space="preserve">Related Equipment / Remarks</t>
  </si>
  <si>
    <t xml:space="preserve">MRPL/PUR/MECH/2025-26/0388</t>
  </si>
  <si>
    <t xml:space="preserve">Hydrojetting and cleaning services for heat exchanger bundles (rate contract)</t>
  </si>
  <si>
    <t xml:space="preserve">Mechanical</t>
  </si>
  <si>
    <t xml:space="preserve">Under evaluation</t>
  </si>
  <si>
    <t xml:space="preserve">Multiple exchangers, incl. DHDT Unit-31</t>
  </si>
  <si>
    <t xml:space="preserve">MRPL/PUR/MECH/2025-26/0405</t>
  </si>
  <si>
    <t xml:space="preserve">Supply of gaskets and fasteners for heat exchangers (rate contract)</t>
  </si>
  <si>
    <t xml:space="preserve">Awarded</t>
  </si>
  <si>
    <t xml:space="preserve">Sahyadri Fabricators Pvt Ltd</t>
  </si>
  <si>
    <t xml:space="preserve">Various</t>
  </si>
  <si>
    <t xml:space="preserve">MRPL/PUR/MECH/2025-26/0412</t>
  </si>
  <si>
    <t xml:space="preserve">Supply of replacement tube bundle (spare) for feed/effluent heat exchanger 31-E-102A, DHDT Unit-31</t>
  </si>
  <si>
    <t xml:space="preserve">Awarded - delivered, installation pending</t>
  </si>
  <si>
    <t xml:space="preserve">Vishwa Thermal Engineering Pvt Ltd</t>
  </si>
  <si>
    <t xml:space="preserve">31-E-102A</t>
  </si>
  <si>
    <t xml:space="preserve">MRPL/PUR/INST/2025-26/0398</t>
  </si>
  <si>
    <t xml:space="preserve">Calibration and testing of pressure safety valves, Units 31-34</t>
  </si>
  <si>
    <t xml:space="preserve">Instrumentation</t>
  </si>
  <si>
    <t xml:space="preserve">Aravalli Valve Services</t>
  </si>
  <si>
    <t xml:space="preserve">PSVs, DHDT area</t>
  </si>
  <si>
    <t xml:space="preserve">MRPL/PUR/CHEM/2025-26/0421</t>
  </si>
  <si>
    <t xml:space="preserve">Supply of filming corrosion inhibitor, cooling water system</t>
  </si>
  <si>
    <t xml:space="preserve">Chemicals</t>
  </si>
  <si>
    <t xml:space="preserve">Tulu Specialty Chemicals</t>
  </si>
  <si>
    <t xml:space="preserve">Cooling water</t>
  </si>
  <si>
    <t xml:space="preserve">MRPL/PUR/ELEC/2025-26/0430</t>
  </si>
  <si>
    <t xml:space="preserve">Rewinding of HT motors, 3.3 kV (rate contract)</t>
  </si>
  <si>
    <t xml:space="preserve">Electrical</t>
  </si>
  <si>
    <t xml:space="preserve">Malabar Motors and Drives</t>
  </si>
  <si>
    <t xml:space="preserve">HT motors</t>
  </si>
  <si>
    <t xml:space="preserve">MRPL/PUR/CIV/2024-25/0731</t>
  </si>
  <si>
    <t xml:space="preserve">Cooling tower fill replacement, CT-2</t>
  </si>
  <si>
    <t xml:space="preserve">Civil</t>
  </si>
  <si>
    <t xml:space="preserve">Completed</t>
  </si>
  <si>
    <t xml:space="preserve">Konkan Cooling Systems</t>
  </si>
  <si>
    <t xml:space="preserve">CT-2 (NIT also dated 12 July, but in 2024)</t>
  </si>
  <si>
    <t xml:space="preserve">SYNTHETIC / DUMMY DATA. MRPL used as demo setting only; vendors, values and tender numbers are fictional. Blue = typed inputs.</t>
  </si>
  <si>
    <t xml:space="preserve">Note: Tender 0388 was published earlier (18 Jun 2025) but two firms bought its documents on 12 Jul 2025. Tender 0412 was published on 12 Jul 2025.</t>
  </si>
  <si>
    <t xml:space="preserve">Purchase ID</t>
  </si>
  <si>
    <t xml:space="preserve">Firm</t>
  </si>
  <si>
    <t xml:space="preserve">City</t>
  </si>
  <si>
    <t xml:space="preserve">Purchase Date</t>
  </si>
  <si>
    <t xml:space="preserve">Fee incl. GST (INR)</t>
  </si>
  <si>
    <t xml:space="preserve">Bid Submitted</t>
  </si>
  <si>
    <t xml:space="preserve">PUR-0001</t>
  </si>
  <si>
    <t xml:space="preserve">Konkan Reactor Services</t>
  </si>
  <si>
    <t xml:space="preserve">Mangaluru</t>
  </si>
  <si>
    <t xml:space="preserve">No</t>
  </si>
  <si>
    <t xml:space="preserve">PUR-0002</t>
  </si>
  <si>
    <t xml:space="preserve">Belagavi</t>
  </si>
  <si>
    <t xml:space="preserve">Yes</t>
  </si>
  <si>
    <t xml:space="preserve">PUR-0003</t>
  </si>
  <si>
    <t xml:space="preserve">Pune</t>
  </si>
  <si>
    <t xml:space="preserve">PUR-0004</t>
  </si>
  <si>
    <t xml:space="preserve">PUR-0005</t>
  </si>
  <si>
    <t xml:space="preserve">PUR-0006</t>
  </si>
  <si>
    <t xml:space="preserve">Coastal Exchangers &amp; Vessels Ltd</t>
  </si>
  <si>
    <t xml:space="preserve">Vadodara</t>
  </si>
  <si>
    <t xml:space="preserve">PUR-0007</t>
  </si>
  <si>
    <t xml:space="preserve">Nordhaus-Rao Process Equipment (India) Pvt Ltd</t>
  </si>
  <si>
    <t xml:space="preserve">Hyderabad</t>
  </si>
  <si>
    <t xml:space="preserve">PUR-0008</t>
  </si>
  <si>
    <t xml:space="preserve">Kaveri Heat Transfer Systems</t>
  </si>
  <si>
    <t xml:space="preserve">Chennai</t>
  </si>
  <si>
    <t xml:space="preserve">PUR-0009</t>
  </si>
  <si>
    <t xml:space="preserve">PUR-0010</t>
  </si>
  <si>
    <t xml:space="preserve">Meridian Industrial Works</t>
  </si>
  <si>
    <t xml:space="preserve">Ahmedabad</t>
  </si>
  <si>
    <t xml:space="preserve">PUR-0011</t>
  </si>
  <si>
    <t xml:space="preserve">Jaipur</t>
  </si>
  <si>
    <t xml:space="preserve">Bidder</t>
  </si>
  <si>
    <t xml:space="preserve">Technical Status</t>
  </si>
  <si>
    <t xml:space="preserve">Quoted Price (INR crore)</t>
  </si>
  <si>
    <t xml:space="preserve">Delivery (weeks)</t>
  </si>
  <si>
    <t xml:space="preserve">Estimate (INR crore)</t>
  </si>
  <si>
    <t xml:space="preserve">Variance vs Estimate</t>
  </si>
  <si>
    <t xml:space="preserve">Rank (qualified bids)</t>
  </si>
  <si>
    <t xml:space="preserve">Remarks</t>
  </si>
  <si>
    <t xml:space="preserve">Qualified</t>
  </si>
  <si>
    <t xml:space="preserve">Negotiated to 3.79 crore on 17 Sep 2025; awarded</t>
  </si>
  <si>
    <t xml:space="preserve">L2</t>
  </si>
  <si>
    <t xml:space="preserve">L3; fastest delivery</t>
  </si>
  <si>
    <t xml:space="preserve">Disqualified</t>
  </si>
  <si>
    <t xml:space="preserve">Indicative price only; did not meet alloy-bundle experience criterion; price bid not opened</t>
  </si>
  <si>
    <t xml:space="preserve">Negotiated award value (INR crore)</t>
  </si>
  <si>
    <t xml:space="preserve">Reduction from L1 quote</t>
  </si>
  <si>
    <t xml:space="preserve">Award value vs estimate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</si>
</sst>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yyyy\-mm\-dd"/>
    <numFmt numFmtId="166" formatCode="0.00"/>
    <numFmt numFmtId="167" formatCode="0.0%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10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6" fontId="6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7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1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50"/>
    <col collapsed="false" customWidth="true" hidden="false" outlineLevel="0" max="4" min="3" style="0" width="14"/>
    <col collapsed="false" customWidth="true" hidden="false" outlineLevel="0" max="9" min="5" style="0" width="12"/>
    <col collapsed="false" customWidth="true" hidden="false" outlineLevel="0" max="10" min="10" style="0" width="26"/>
    <col collapsed="false" customWidth="true" hidden="false" outlineLevel="0" max="11" min="11" style="0" width="30"/>
    <col collapsed="false" customWidth="true" hidden="false" outlineLevel="0" max="12" min="12" style="0" width="12"/>
    <col collapsed="false" customWidth="true" hidden="false" outlineLevel="0" max="13" min="13" style="0" width="32"/>
  </cols>
  <sheetData>
    <row r="1" customFormat="false" ht="35.0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customFormat="false" ht="23.85" hidden="false" customHeight="false" outlineLevel="0" collapsed="false">
      <c r="A2" s="2" t="s">
        <v>13</v>
      </c>
      <c r="B2" s="2" t="s">
        <v>14</v>
      </c>
      <c r="C2" s="2" t="s">
        <v>15</v>
      </c>
      <c r="D2" s="3" t="n">
        <v>45826</v>
      </c>
      <c r="E2" s="4" t="n">
        <v>1.6</v>
      </c>
      <c r="F2" s="3" t="n">
        <v>45868</v>
      </c>
      <c r="G2" s="3" t="n">
        <v>45869</v>
      </c>
      <c r="H2" s="2" t="n">
        <f aca="false">COUNTIF(Doc_Purchase_Log!$B$2:$B$60,A2)</f>
        <v>3</v>
      </c>
      <c r="I2" s="2" t="n">
        <f aca="false">COUNTIFS(Doc_Purchase_Log!$B$2:$B$60,A2,Doc_Purchase_Log!$G$2:$G$60,"Yes")</f>
        <v>2</v>
      </c>
      <c r="J2" s="2" t="s">
        <v>16</v>
      </c>
      <c r="K2" s="2"/>
      <c r="L2" s="4"/>
      <c r="M2" s="2" t="s">
        <v>17</v>
      </c>
    </row>
    <row r="3" customFormat="false" ht="23.85" hidden="false" customHeight="false" outlineLevel="0" collapsed="false">
      <c r="A3" s="2" t="s">
        <v>18</v>
      </c>
      <c r="B3" s="2" t="s">
        <v>19</v>
      </c>
      <c r="C3" s="2" t="s">
        <v>15</v>
      </c>
      <c r="D3" s="3" t="n">
        <v>45839</v>
      </c>
      <c r="E3" s="4" t="n">
        <v>0.85</v>
      </c>
      <c r="F3" s="3" t="n">
        <v>45877</v>
      </c>
      <c r="G3" s="3" t="n">
        <v>45877</v>
      </c>
      <c r="H3" s="2" t="n">
        <f aca="false">COUNTIF(Doc_Purchase_Log!$B$2:$B$60,A3)</f>
        <v>1</v>
      </c>
      <c r="I3" s="2" t="n">
        <f aca="false">COUNTIFS(Doc_Purchase_Log!$B$2:$B$60,A3,Doc_Purchase_Log!$G$2:$G$60,"Yes")</f>
        <v>1</v>
      </c>
      <c r="J3" s="2" t="s">
        <v>20</v>
      </c>
      <c r="K3" s="2" t="s">
        <v>21</v>
      </c>
      <c r="L3" s="4" t="n">
        <v>0.79</v>
      </c>
      <c r="M3" s="2" t="s">
        <v>22</v>
      </c>
    </row>
    <row r="4" customFormat="false" ht="23.85" hidden="false" customHeight="false" outlineLevel="0" collapsed="false">
      <c r="A4" s="2" t="s">
        <v>23</v>
      </c>
      <c r="B4" s="2" t="s">
        <v>24</v>
      </c>
      <c r="C4" s="2" t="s">
        <v>15</v>
      </c>
      <c r="D4" s="3" t="n">
        <v>45850</v>
      </c>
      <c r="E4" s="4" t="n">
        <v>4.2</v>
      </c>
      <c r="F4" s="3" t="n">
        <v>45880</v>
      </c>
      <c r="G4" s="3" t="n">
        <v>45881</v>
      </c>
      <c r="H4" s="2" t="n">
        <f aca="false">COUNTIF(Doc_Purchase_Log!$B$2:$B$60,A4)</f>
        <v>6</v>
      </c>
      <c r="I4" s="2" t="n">
        <f aca="false">COUNTIFS(Doc_Purchase_Log!$B$2:$B$60,A4,Doc_Purchase_Log!$G$2:$G$60,"Yes")</f>
        <v>4</v>
      </c>
      <c r="J4" s="2" t="s">
        <v>25</v>
      </c>
      <c r="K4" s="2" t="s">
        <v>26</v>
      </c>
      <c r="L4" s="4" t="n">
        <v>3.79</v>
      </c>
      <c r="M4" s="2" t="s">
        <v>27</v>
      </c>
    </row>
    <row r="5" customFormat="false" ht="23.85" hidden="false" customHeight="false" outlineLevel="0" collapsed="false">
      <c r="A5" s="2" t="s">
        <v>28</v>
      </c>
      <c r="B5" s="2" t="s">
        <v>29</v>
      </c>
      <c r="C5" s="2" t="s">
        <v>30</v>
      </c>
      <c r="D5" s="3" t="n">
        <v>45852</v>
      </c>
      <c r="E5" s="4" t="n">
        <v>1.1</v>
      </c>
      <c r="F5" s="3" t="n">
        <v>45883</v>
      </c>
      <c r="G5" s="3" t="n">
        <v>45883</v>
      </c>
      <c r="H5" s="2" t="n">
        <f aca="false">COUNTIF(Doc_Purchase_Log!$B$2:$B$60,A5)</f>
        <v>1</v>
      </c>
      <c r="I5" s="2" t="n">
        <f aca="false">COUNTIFS(Doc_Purchase_Log!$B$2:$B$60,A5,Doc_Purchase_Log!$G$2:$G$60,"Yes")</f>
        <v>1</v>
      </c>
      <c r="J5" s="2" t="s">
        <v>20</v>
      </c>
      <c r="K5" s="2" t="s">
        <v>31</v>
      </c>
      <c r="L5" s="4" t="n">
        <v>0.98</v>
      </c>
      <c r="M5" s="2" t="s">
        <v>32</v>
      </c>
    </row>
    <row r="6" customFormat="false" ht="23.85" hidden="false" customHeight="false" outlineLevel="0" collapsed="false">
      <c r="A6" s="2" t="s">
        <v>33</v>
      </c>
      <c r="B6" s="2" t="s">
        <v>34</v>
      </c>
      <c r="C6" s="2" t="s">
        <v>35</v>
      </c>
      <c r="D6" s="3" t="n">
        <v>45866</v>
      </c>
      <c r="E6" s="4" t="n">
        <v>0.65</v>
      </c>
      <c r="F6" s="3" t="n">
        <v>45901</v>
      </c>
      <c r="G6" s="3" t="n">
        <v>45902</v>
      </c>
      <c r="H6" s="2" t="n">
        <f aca="false">COUNTIF(Doc_Purchase_Log!$B$2:$B$60,A6)</f>
        <v>0</v>
      </c>
      <c r="I6" s="2" t="n">
        <f aca="false">COUNTIFS(Doc_Purchase_Log!$B$2:$B$60,A6,Doc_Purchase_Log!$G$2:$G$60,"Yes")</f>
        <v>0</v>
      </c>
      <c r="J6" s="2" t="s">
        <v>20</v>
      </c>
      <c r="K6" s="2" t="s">
        <v>36</v>
      </c>
      <c r="L6" s="4" t="n">
        <v>0.61</v>
      </c>
      <c r="M6" s="2" t="s">
        <v>37</v>
      </c>
    </row>
    <row r="7" customFormat="false" ht="23.85" hidden="false" customHeight="false" outlineLevel="0" collapsed="false">
      <c r="A7" s="2" t="s">
        <v>38</v>
      </c>
      <c r="B7" s="2" t="s">
        <v>39</v>
      </c>
      <c r="C7" s="2" t="s">
        <v>40</v>
      </c>
      <c r="D7" s="3" t="n">
        <v>45874</v>
      </c>
      <c r="E7" s="4" t="n">
        <v>0.9</v>
      </c>
      <c r="F7" s="3" t="n">
        <v>45910</v>
      </c>
      <c r="G7" s="3" t="n">
        <v>45911</v>
      </c>
      <c r="H7" s="2" t="n">
        <f aca="false">COUNTIF(Doc_Purchase_Log!$B$2:$B$60,A7)</f>
        <v>0</v>
      </c>
      <c r="I7" s="2" t="n">
        <f aca="false">COUNTIFS(Doc_Purchase_Log!$B$2:$B$60,A7,Doc_Purchase_Log!$G$2:$G$60,"Yes")</f>
        <v>0</v>
      </c>
      <c r="J7" s="2" t="s">
        <v>20</v>
      </c>
      <c r="K7" s="2" t="s">
        <v>41</v>
      </c>
      <c r="L7" s="4" t="n">
        <v>0.86</v>
      </c>
      <c r="M7" s="2" t="s">
        <v>42</v>
      </c>
    </row>
    <row r="8" customFormat="false" ht="23.85" hidden="false" customHeight="false" outlineLevel="0" collapsed="false">
      <c r="A8" s="2" t="s">
        <v>43</v>
      </c>
      <c r="B8" s="2" t="s">
        <v>44</v>
      </c>
      <c r="C8" s="2" t="s">
        <v>45</v>
      </c>
      <c r="D8" s="3" t="n">
        <v>45485</v>
      </c>
      <c r="E8" s="4" t="n">
        <v>2.3</v>
      </c>
      <c r="F8" s="3" t="n">
        <v>45516</v>
      </c>
      <c r="G8" s="3" t="n">
        <v>45517</v>
      </c>
      <c r="H8" s="2" t="n">
        <f aca="false">COUNTIF(Doc_Purchase_Log!$B$2:$B$60,A8)</f>
        <v>0</v>
      </c>
      <c r="I8" s="2" t="n">
        <f aca="false">COUNTIFS(Doc_Purchase_Log!$B$2:$B$60,A8,Doc_Purchase_Log!$G$2:$G$60,"Yes")</f>
        <v>0</v>
      </c>
      <c r="J8" s="2" t="s">
        <v>46</v>
      </c>
      <c r="K8" s="2" t="s">
        <v>47</v>
      </c>
      <c r="L8" s="4" t="n">
        <v>2.18</v>
      </c>
      <c r="M8" s="2" t="s">
        <v>48</v>
      </c>
    </row>
    <row r="10" customFormat="false" ht="15" hidden="false" customHeight="false" outlineLevel="0" collapsed="false">
      <c r="A10" s="5" t="s">
        <v>49</v>
      </c>
    </row>
    <row r="11" customFormat="false" ht="15" hidden="false" customHeight="false" outlineLevel="0" collapsed="false">
      <c r="A11" s="5" t="s">
        <v>50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28"/>
    <col collapsed="false" customWidth="true" hidden="false" outlineLevel="0" max="3" min="3" style="0" width="44"/>
    <col collapsed="false" customWidth="true" hidden="false" outlineLevel="0" max="6" min="4" style="0" width="14"/>
    <col collapsed="false" customWidth="true" hidden="false" outlineLevel="0" max="7" min="7" style="0" width="12"/>
  </cols>
  <sheetData>
    <row r="1" customFormat="false" ht="23.85" hidden="false" customHeight="false" outlineLevel="0" collapsed="false">
      <c r="A1" s="1" t="s">
        <v>51</v>
      </c>
      <c r="B1" s="1" t="s">
        <v>0</v>
      </c>
      <c r="C1" s="1" t="s">
        <v>52</v>
      </c>
      <c r="D1" s="1" t="s">
        <v>53</v>
      </c>
      <c r="E1" s="1" t="s">
        <v>54</v>
      </c>
      <c r="F1" s="1" t="s">
        <v>55</v>
      </c>
      <c r="G1" s="1" t="s">
        <v>56</v>
      </c>
    </row>
    <row r="2" customFormat="false" ht="15" hidden="false" customHeight="false" outlineLevel="0" collapsed="false">
      <c r="A2" s="2" t="s">
        <v>57</v>
      </c>
      <c r="B2" s="2" t="s">
        <v>13</v>
      </c>
      <c r="C2" s="2" t="s">
        <v>58</v>
      </c>
      <c r="D2" s="2" t="s">
        <v>59</v>
      </c>
      <c r="E2" s="3" t="n">
        <v>45832</v>
      </c>
      <c r="F2" s="2" t="n">
        <v>5900</v>
      </c>
      <c r="G2" s="2" t="s">
        <v>60</v>
      </c>
    </row>
    <row r="3" customFormat="false" ht="15" hidden="false" customHeight="false" outlineLevel="0" collapsed="false">
      <c r="A3" s="2" t="s">
        <v>61</v>
      </c>
      <c r="B3" s="2" t="s">
        <v>13</v>
      </c>
      <c r="C3" s="2" t="s">
        <v>21</v>
      </c>
      <c r="D3" s="2" t="s">
        <v>62</v>
      </c>
      <c r="E3" s="3" t="n">
        <v>45850</v>
      </c>
      <c r="F3" s="2" t="n">
        <v>5900</v>
      </c>
      <c r="G3" s="2" t="s">
        <v>63</v>
      </c>
    </row>
    <row r="4" customFormat="false" ht="15" hidden="false" customHeight="false" outlineLevel="0" collapsed="false">
      <c r="A4" s="2" t="s">
        <v>64</v>
      </c>
      <c r="B4" s="2" t="s">
        <v>13</v>
      </c>
      <c r="C4" s="2" t="s">
        <v>26</v>
      </c>
      <c r="D4" s="2" t="s">
        <v>65</v>
      </c>
      <c r="E4" s="3" t="n">
        <v>45850</v>
      </c>
      <c r="F4" s="2" t="n">
        <v>5900</v>
      </c>
      <c r="G4" s="2" t="s">
        <v>63</v>
      </c>
    </row>
    <row r="5" customFormat="false" ht="15" hidden="false" customHeight="false" outlineLevel="0" collapsed="false">
      <c r="A5" s="2" t="s">
        <v>66</v>
      </c>
      <c r="B5" s="2" t="s">
        <v>18</v>
      </c>
      <c r="C5" s="2" t="s">
        <v>21</v>
      </c>
      <c r="D5" s="2" t="s">
        <v>62</v>
      </c>
      <c r="E5" s="3" t="n">
        <v>45842</v>
      </c>
      <c r="F5" s="2" t="n">
        <v>2950</v>
      </c>
      <c r="G5" s="2" t="s">
        <v>63</v>
      </c>
    </row>
    <row r="6" customFormat="false" ht="15" hidden="false" customHeight="false" outlineLevel="0" collapsed="false">
      <c r="A6" s="2" t="s">
        <v>67</v>
      </c>
      <c r="B6" s="2" t="s">
        <v>23</v>
      </c>
      <c r="C6" s="2" t="s">
        <v>26</v>
      </c>
      <c r="D6" s="2" t="s">
        <v>65</v>
      </c>
      <c r="E6" s="3" t="n">
        <v>45850</v>
      </c>
      <c r="F6" s="2" t="n">
        <v>5900</v>
      </c>
      <c r="G6" s="2" t="s">
        <v>63</v>
      </c>
    </row>
    <row r="7" customFormat="false" ht="15" hidden="false" customHeight="false" outlineLevel="0" collapsed="false">
      <c r="A7" s="2" t="s">
        <v>68</v>
      </c>
      <c r="B7" s="2" t="s">
        <v>23</v>
      </c>
      <c r="C7" s="2" t="s">
        <v>69</v>
      </c>
      <c r="D7" s="2" t="s">
        <v>70</v>
      </c>
      <c r="E7" s="3" t="n">
        <v>45850</v>
      </c>
      <c r="F7" s="2" t="n">
        <v>5900</v>
      </c>
      <c r="G7" s="2" t="s">
        <v>63</v>
      </c>
    </row>
    <row r="8" customFormat="false" ht="15" hidden="false" customHeight="false" outlineLevel="0" collapsed="false">
      <c r="A8" s="2" t="s">
        <v>71</v>
      </c>
      <c r="B8" s="2" t="s">
        <v>23</v>
      </c>
      <c r="C8" s="2" t="s">
        <v>72</v>
      </c>
      <c r="D8" s="2" t="s">
        <v>73</v>
      </c>
      <c r="E8" s="3" t="n">
        <v>45850</v>
      </c>
      <c r="F8" s="2" t="n">
        <v>5900</v>
      </c>
      <c r="G8" s="2" t="s">
        <v>63</v>
      </c>
    </row>
    <row r="9" customFormat="false" ht="15" hidden="false" customHeight="false" outlineLevel="0" collapsed="false">
      <c r="A9" s="2" t="s">
        <v>74</v>
      </c>
      <c r="B9" s="2" t="s">
        <v>23</v>
      </c>
      <c r="C9" s="2" t="s">
        <v>75</v>
      </c>
      <c r="D9" s="2" t="s">
        <v>76</v>
      </c>
      <c r="E9" s="3" t="n">
        <v>45852</v>
      </c>
      <c r="F9" s="2" t="n">
        <v>5900</v>
      </c>
      <c r="G9" s="2" t="s">
        <v>63</v>
      </c>
    </row>
    <row r="10" customFormat="false" ht="15" hidden="false" customHeight="false" outlineLevel="0" collapsed="false">
      <c r="A10" s="2" t="s">
        <v>77</v>
      </c>
      <c r="B10" s="2" t="s">
        <v>23</v>
      </c>
      <c r="C10" s="2" t="s">
        <v>21</v>
      </c>
      <c r="D10" s="2" t="s">
        <v>62</v>
      </c>
      <c r="E10" s="3" t="n">
        <v>45854</v>
      </c>
      <c r="F10" s="2" t="n">
        <v>5900</v>
      </c>
      <c r="G10" s="2" t="s">
        <v>60</v>
      </c>
    </row>
    <row r="11" customFormat="false" ht="15" hidden="false" customHeight="false" outlineLevel="0" collapsed="false">
      <c r="A11" s="2" t="s">
        <v>78</v>
      </c>
      <c r="B11" s="2" t="s">
        <v>23</v>
      </c>
      <c r="C11" s="2" t="s">
        <v>79</v>
      </c>
      <c r="D11" s="2" t="s">
        <v>80</v>
      </c>
      <c r="E11" s="3" t="n">
        <v>45859</v>
      </c>
      <c r="F11" s="2" t="n">
        <v>5900</v>
      </c>
      <c r="G11" s="2" t="s">
        <v>60</v>
      </c>
    </row>
    <row r="12" customFormat="false" ht="15" hidden="false" customHeight="false" outlineLevel="0" collapsed="false">
      <c r="A12" s="2" t="s">
        <v>81</v>
      </c>
      <c r="B12" s="2" t="s">
        <v>28</v>
      </c>
      <c r="C12" s="2" t="s">
        <v>31</v>
      </c>
      <c r="D12" s="2" t="s">
        <v>82</v>
      </c>
      <c r="E12" s="3" t="n">
        <v>45853</v>
      </c>
      <c r="F12" s="2" t="n">
        <v>5900</v>
      </c>
      <c r="G12" s="2" t="s">
        <v>63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0"/>
    <col collapsed="false" customWidth="true" hidden="false" outlineLevel="0" max="2" min="2" style="0" width="16"/>
    <col collapsed="false" customWidth="true" hidden="false" outlineLevel="0" max="3" min="3" style="0" width="14"/>
    <col collapsed="false" customWidth="true" hidden="false" outlineLevel="0" max="5" min="4" style="0" width="12"/>
    <col collapsed="false" customWidth="true" hidden="false" outlineLevel="0" max="7" min="6" style="0" width="14"/>
    <col collapsed="false" customWidth="true" hidden="false" outlineLevel="0" max="8" min="8" style="0" width="50"/>
  </cols>
  <sheetData>
    <row r="1" customFormat="false" ht="23.85" hidden="false" customHeight="false" outlineLevel="0" collapsed="false">
      <c r="A1" s="1" t="s">
        <v>83</v>
      </c>
      <c r="B1" s="1" t="s">
        <v>84</v>
      </c>
      <c r="C1" s="1" t="s">
        <v>85</v>
      </c>
      <c r="D1" s="1" t="s">
        <v>86</v>
      </c>
      <c r="E1" s="1" t="s">
        <v>87</v>
      </c>
      <c r="F1" s="1" t="s">
        <v>88</v>
      </c>
      <c r="G1" s="1" t="s">
        <v>89</v>
      </c>
      <c r="H1" s="1" t="s">
        <v>90</v>
      </c>
    </row>
    <row r="2" customFormat="false" ht="15" hidden="false" customHeight="false" outlineLevel="0" collapsed="false">
      <c r="A2" s="2" t="s">
        <v>26</v>
      </c>
      <c r="B2" s="2" t="s">
        <v>91</v>
      </c>
      <c r="C2" s="4" t="n">
        <v>3.87</v>
      </c>
      <c r="D2" s="6" t="n">
        <v>30</v>
      </c>
      <c r="E2" s="4" t="n">
        <v>4.2</v>
      </c>
      <c r="F2" s="7" t="n">
        <f aca="false">(C2-E2)/E2</f>
        <v>-0.0785714285714286</v>
      </c>
      <c r="G2" s="2" t="n">
        <f aca="false">IF(B2="Qualified",COUNTIFS($C$2:$C$5,"&lt;"&amp;C2,$B$2:$B$5,"Qualified")+1,"n/a")</f>
        <v>1</v>
      </c>
      <c r="H2" s="2" t="s">
        <v>92</v>
      </c>
    </row>
    <row r="3" customFormat="false" ht="15" hidden="false" customHeight="false" outlineLevel="0" collapsed="false">
      <c r="A3" s="2" t="s">
        <v>69</v>
      </c>
      <c r="B3" s="2" t="s">
        <v>91</v>
      </c>
      <c r="C3" s="4" t="n">
        <v>4.05</v>
      </c>
      <c r="D3" s="6" t="n">
        <v>32</v>
      </c>
      <c r="E3" s="4" t="n">
        <v>4.2</v>
      </c>
      <c r="F3" s="7" t="n">
        <f aca="false">(C3-E3)/E3</f>
        <v>-0.0357142857142858</v>
      </c>
      <c r="G3" s="2" t="n">
        <f aca="false">IF(B3="Qualified",COUNTIFS($C$2:$C$5,"&lt;"&amp;C3,$B$2:$B$5,"Qualified")+1,"n/a")</f>
        <v>2</v>
      </c>
      <c r="H3" s="2" t="s">
        <v>93</v>
      </c>
    </row>
    <row r="4" customFormat="false" ht="15" hidden="false" customHeight="false" outlineLevel="0" collapsed="false">
      <c r="A4" s="2" t="s">
        <v>75</v>
      </c>
      <c r="B4" s="2" t="s">
        <v>91</v>
      </c>
      <c r="C4" s="4" t="n">
        <v>4.31</v>
      </c>
      <c r="D4" s="6" t="n">
        <v>28</v>
      </c>
      <c r="E4" s="4" t="n">
        <v>4.2</v>
      </c>
      <c r="F4" s="7" t="n">
        <f aca="false">(C4-E4)/E4</f>
        <v>0.0261904761904761</v>
      </c>
      <c r="G4" s="2" t="n">
        <f aca="false">IF(B4="Qualified",COUNTIFS($C$2:$C$5,"&lt;"&amp;C4,$B$2:$B$5,"Qualified")+1,"n/a")</f>
        <v>3</v>
      </c>
      <c r="H4" s="2" t="s">
        <v>94</v>
      </c>
    </row>
    <row r="5" customFormat="false" ht="23.85" hidden="false" customHeight="false" outlineLevel="0" collapsed="false">
      <c r="A5" s="2" t="s">
        <v>72</v>
      </c>
      <c r="B5" s="2" t="s">
        <v>95</v>
      </c>
      <c r="C5" s="4" t="n">
        <v>3.62</v>
      </c>
      <c r="D5" s="6" t="n">
        <v>34</v>
      </c>
      <c r="E5" s="4" t="n">
        <v>4.2</v>
      </c>
      <c r="F5" s="7" t="n">
        <f aca="false">(C5-E5)/E5</f>
        <v>-0.138095238095238</v>
      </c>
      <c r="G5" s="2" t="str">
        <f aca="false">IF(B5="Qualified",COUNTIFS($C$2:$C$5,"&lt;"&amp;C5,$B$2:$B$5,"Qualified")+1,"n/a")</f>
        <v>n/a</v>
      </c>
      <c r="H5" s="2" t="s">
        <v>96</v>
      </c>
    </row>
    <row r="8" customFormat="false" ht="15" hidden="false" customHeight="false" outlineLevel="0" collapsed="false">
      <c r="A8" s="8" t="s">
        <v>97</v>
      </c>
      <c r="C8" s="9" t="n">
        <v>3.79</v>
      </c>
    </row>
    <row r="9" customFormat="false" ht="15" hidden="false" customHeight="false" outlineLevel="0" collapsed="false">
      <c r="A9" s="5" t="s">
        <v>98</v>
      </c>
      <c r="C9" s="10" t="n">
        <f aca="false">(C2-C8)/C2</f>
        <v>0.020671834625323</v>
      </c>
    </row>
    <row r="10" customFormat="false" ht="15" hidden="false" customHeight="false" outlineLevel="0" collapsed="false">
      <c r="A10" s="5" t="s">
        <v>99</v>
      </c>
      <c r="C10" s="10" t="n">
        <f aca="false">(C8-E2)/E2</f>
        <v>-0.0976190476190477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2026-09-20T18:30:35Z</dcterms:created>
  <dc:creator>openpyxl</dc:creator>
  <dc:description/>
  <dc:language>en-US</dc:language>
  <cp:lastModifiedBy/>
  <dcterms:modified xsi:type="dcterms:W3CDTF">2026-09-20T18:30:35Z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