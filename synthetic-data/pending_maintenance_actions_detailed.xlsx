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90b939af6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9f537fc5fac450e"/>
    <x:sheet xmlns:r="http://schemas.openxmlformats.org/officeDocument/2006/relationships" name="Action Register" sheetId="2" r:id="R4d3280ac230d4a3d"/>
    <x:sheet xmlns:r="http://schemas.openxmlformats.org/officeDocument/2006/relationships" name="Execution Checklist" sheetId="3" r:id="Rf77f83599d9741af"/>
    <x:sheet xmlns:r="http://schemas.openxmlformats.org/officeDocument/2006/relationships" name="RAG Artifact Guide" sheetId="4" r:id="Rd1219a0dca3c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20"/>
      <x:color rgb="FF0B1F3A"/>
      <x:name val="Carlito"/>
    </x:font>
    <x:font>
      <x:b/>
      <x:sz val="15"/>
      <x:color rgb="FFFFFFFF"/>
      <x:name val="Carlito"/>
    </x:font>
    <x:font>
      <x:b/>
      <x:sz val="11"/>
      <x:color rgb="FF9A34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8EEF7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f0a2a07024664" /><Relationship Type="http://schemas.openxmlformats.org/officeDocument/2006/relationships/theme" Target="/xl/theme/theme1.xml" Id="Rb8dfed96a89b466a" /><Relationship Type="http://schemas.openxmlformats.org/officeDocument/2006/relationships/sharedStrings" Target="/xl/sharedStrings.xml" Id="Ra2a8810b904a43d2" /><Relationship Type="http://schemas.openxmlformats.org/officeDocument/2006/relationships/worksheet" Target="/xl/worksheets/sheet1.xml" Id="Rd9f537fc5fac450e" /><Relationship Type="http://schemas.openxmlformats.org/officeDocument/2006/relationships/worksheet" Target="/xl/worksheets/sheet2.xml" Id="R4d3280ac230d4a3d" /><Relationship Type="http://schemas.openxmlformats.org/officeDocument/2006/relationships/worksheet" Target="/xl/worksheets/sheet3.xml" Id="Rf77f83599d9741af" /><Relationship Type="http://schemas.openxmlformats.org/officeDocument/2006/relationships/worksheet" Target="/xl/worksheets/sheet4.xml" Id="Rd1219a0dca3c400e" /></Relationships>
</file>

<file path=xl/tables/table1.xml><?xml version="1.0" encoding="utf-8"?>
<x:table xmlns:x="http://schemas.openxmlformats.org/spreadsheetml/2006/main" id="1" name="PendingActionsTable" displayName="PendingActionsTable" ref="A1:Q16" headerRowCount="1" totalsRowCount="0" totalsRowShown="0">
  <x:tableColumns count="17">
    <x:tableColumn id="1" name="Action ID"/>
    <x:tableColumn id="2" name="Equipment"/>
    <x:tableColumn id="3" name="Area"/>
    <x:tableColumn id="4" name="Action / Task"/>
    <x:tableColumn id="5" name="Action Category"/>
    <x:tableColumn id="6" name="Responsible Function"/>
    <x:tableColumn id="7" name="Priority"/>
    <x:tableColumn id="8" name="Target Date"/>
    <x:tableColumn id="9" name="Dependency"/>
    <x:tableColumn id="10" name="Verification / Acceptance"/>
    <x:tableColumn id="11" name="Status"/>
    <x:tableColumn id="12" name="Source Document"/>
    <x:tableColumn id="13" name="Evidence / Rationale"/>
    <x:tableColumn id="14" name="Safety Control"/>
    <x:tableColumn id="15" name="Deliverable / Record"/>
    <x:tableColumn id="16" name="Related Event IDs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95e6a904574843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P-204A — Pending Maintenance Actions Dashboard</x:v>
      </x:c>
    </x:row>
    <x:row r="2">
      <x:c r="A2" s="13" t="str">
        <x:v>SYNTHETIC DEMO DATA — created for SovAI prototype; not an actual MRPL work-order or plant record.</x:v>
      </x:c>
    </x:row>
    <x:row r="4">
      <x:c r="A4" s="21" t="str">
        <x:v>TOTAL ACTIONS</x:v>
      </x:c>
      <x:c r="B4" s="21"/>
      <x:c r="C4" s="21" t="str">
        <x:v>OPEN ACTIONS</x:v>
      </x:c>
      <x:c r="D4" s="21"/>
      <x:c r="E4" s="21" t="str">
        <x:v>HIGH PRIORITY</x:v>
      </x:c>
      <x:c r="F4" s="21"/>
      <x:c r="G4" s="21" t="str">
        <x:v>OVERDUE / DUE</x:v>
      </x:c>
      <x:c r="H4" s="21"/>
      <x:c r="I4" s="21" t="str">
        <x:v>BLOCKED</x:v>
      </x:c>
      <x:c r="J4" s="21"/>
    </x:row>
    <x:row r="5">
      <x:c r="A5" s="29" t="n">
        <x:f>COUNTA('Action Register'!A2:A100)</x:f>
        <x:v>15</x:v>
      </x:c>
      <x:c r="B5" s="29"/>
      <x:c r="C5" s="29" t="n">
        <x:f>COUNTIF('Action Register'!K2:K100,"Open")+COUNTIF('Action Register'!K2:K100,"In Progress")+COUNTIF('Action Register'!K2:K100,"Monitoring")</x:f>
        <x:v>10</x:v>
      </x:c>
      <x:c r="D5" s="29"/>
      <x:c r="E5" s="29" t="n">
        <x:f>COUNTIF('Action Register'!G2:G100,"High")+COUNTIF('Action Register'!G2:G100,"Critical")</x:f>
        <x:v>6</x:v>
      </x:c>
      <x:c r="F5" s="29"/>
      <x:c r="G5" s="29" t="n">
        <x:f>COUNTIF('Action Register'!K2:K100,"Open")</x:f>
        <x:v>7</x:v>
      </x:c>
      <x:c r="H5" s="29"/>
      <x:c r="I5" s="29" t="n">
        <x:f>COUNTIF('Action Register'!K2:K100,"Blocked")</x:f>
        <x:v>0</x:v>
      </x:c>
      <x:c r="J5" s="29"/>
    </x:row>
    <x:row r="6">
      <x:c r="A6" s="29"/>
      <x:c r="B6" s="29"/>
      <x:c r="C6" s="29"/>
      <x:c r="D6" s="29"/>
      <x:c r="E6" s="29"/>
      <x:c r="F6" s="29"/>
      <x:c r="G6" s="29"/>
      <x:c r="H6" s="29"/>
      <x:c r="I6" s="29"/>
      <x:c r="J6" s="29"/>
    </x:row>
    <x:row r="8">
      <x:c r="A8" s="36" t="str">
        <x:v>Priority</x:v>
      </x:c>
      <x:c r="B8" s="36" t="str">
        <x:v>Count</x:v>
      </x:c>
      <x:c r="C8" s="36" t="str">
        <x:v>Status</x:v>
      </x:c>
      <x:c r="D8" s="36" t="str">
        <x:v>Count</x:v>
      </x:c>
      <x:c r="F8" s="36" t="str">
        <x:v>CROSS-DOCUMENT RAG MAP</x:v>
      </x:c>
    </x:row>
    <x:row r="9">
      <x:c r="A9" s="40" t="str">
        <x:v>Critical</x:v>
      </x:c>
      <x:c r="B9" s="40" t="n">
        <x:f>COUNTIF('Action Register'!G:G,A9)</x:f>
        <x:v>1</x:v>
      </x:c>
      <x:c r="C9" s="40" t="str">
        <x:v>Open</x:v>
      </x:c>
      <x:c r="D9" s="40" t="n">
        <x:f>COUNTIF('Action Register'!K:K,C9)</x:f>
        <x:v>7</x:v>
      </x:c>
      <x:c r="F9" s="47" t="str">
        <x:v>Need</x:v>
      </x:c>
      <x:c r="G9" s="47" t="str">
        <x:v>Primary Source</x:v>
      </x:c>
      <x:c r="H9" s="47" t="str">
        <x:v>Secondary Source</x:v>
      </x:c>
      <x:c r="I9" s="47" t="str">
        <x:v>Action Evidence</x:v>
      </x:c>
      <x:c r="J9" s="47" t="str">
        <x:v>Artifact</x:v>
      </x:c>
    </x:row>
    <x:row r="10">
      <x:c r="A10" s="40" t="str">
        <x:v>High</x:v>
      </x:c>
      <x:c r="B10" s="40" t="n">
        <x:f>COUNTIF('Action Register'!G:G,A10)</x:f>
        <x:v>5</x:v>
      </x:c>
      <x:c r="C10" s="40" t="str">
        <x:v>In Progress</x:v>
      </x:c>
      <x:c r="D10" s="40" t="n">
        <x:f>COUNTIF('Action Register'!K:K,C10)</x:f>
        <x:v>0</x:v>
      </x:c>
      <x:c r="F10" s="42" t="str">
        <x:v>Vibration investigation</x:v>
      </x:c>
      <x:c r="G10" s="42" t="str">
        <x:v>Maintenance History</x:v>
      </x:c>
      <x:c r="H10" s="42" t="str">
        <x:v>Alarm Log</x:v>
      </x:c>
      <x:c r="I10" s="42" t="str">
        <x:v>Recurring observation + open action</x:v>
      </x:c>
      <x:c r="J10" s="42" t="str">
        <x:v>Work Order DOCX</x:v>
      </x:c>
    </x:row>
    <x:row r="11">
      <x:c r="A11" s="40" t="str">
        <x:v>Medium</x:v>
      </x:c>
      <x:c r="B11" s="40" t="n">
        <x:f>COUNTIF('Action Register'!G:G,A11)</x:f>
        <x:v>6</x:v>
      </x:c>
      <x:c r="C11" s="40" t="str">
        <x:v>Monitoring</x:v>
      </x:c>
      <x:c r="D11" s="40" t="n">
        <x:f>COUNTIF('Action Register'!K:K,C11)</x:f>
        <x:v>3</x:v>
      </x:c>
      <x:c r="F11" s="42" t="str">
        <x:v>Alignment verification</x:v>
      </x:c>
      <x:c r="G11" s="42" t="str">
        <x:v>Maintenance Procedure</x:v>
      </x:c>
      <x:c r="H11" s="42" t="str">
        <x:v>Maintenance History</x:v>
      </x:c>
      <x:c r="I11" s="42" t="str">
        <x:v>Inspection method + acceptance</x:v>
      </x:c>
      <x:c r="J11" s="42" t="str">
        <x:v>Work Order DOCX</x:v>
      </x:c>
    </x:row>
    <x:row r="12">
      <x:c r="A12" s="40" t="str">
        <x:v>Low</x:v>
      </x:c>
      <x:c r="B12" s="40" t="n">
        <x:f>COUNTIF('Action Register'!G:G,A12)</x:f>
        <x:v>3</x:v>
      </x:c>
      <x:c r="C12" s="40" t="str">
        <x:v>Blocked</x:v>
      </x:c>
      <x:c r="D12" s="40" t="n">
        <x:f>COUNTIF('Action Register'!K:K,C12)</x:f>
        <x:v>0</x:v>
      </x:c>
      <x:c r="F12" s="42" t="str">
        <x:v>Seal follow-up</x:v>
      </x:c>
      <x:c r="G12" s="42" t="str">
        <x:v>Maintenance History</x:v>
      </x:c>
      <x:c r="H12" s="42" t="str">
        <x:v>Daily Shift Log</x:v>
      </x:c>
      <x:c r="I12" s="42" t="str">
        <x:v>Leakage history + current observation</x:v>
      </x:c>
      <x:c r="J12" s="42" t="str">
        <x:v>Work Order DOCX</x:v>
      </x:c>
    </x:row>
    <x:row r="13">
      <x:c r="C13" s="40" t="str">
        <x:v>Closed</x:v>
      </x:c>
      <x:c r="D13" s="40" t="n">
        <x:f>COUNTIF('Action Register'!K:K,C13)</x:f>
        <x:v>0</x:v>
      </x:c>
      <x:c r="F13" s="42" t="str">
        <x:v>Safety / LOTO</x:v>
      </x:c>
      <x:c r="G13" s="42" t="str">
        <x:v>Safety / LOTO Procedure</x:v>
      </x:c>
      <x:c r="H13" s="42" t="str">
        <x:v>Shift Log</x:v>
      </x:c>
      <x:c r="I13" s="42" t="str">
        <x:v>Isolation dependency</x:v>
      </x:c>
      <x:c r="J13" s="42" t="str">
        <x:v>Safety Checklist DOCX</x:v>
      </x:c>
    </x:row>
    <x:row r="14">
      <x:c r="F14" s="42" t="str">
        <x:v>Open action tracking</x:v>
      </x:c>
      <x:c r="G14" s="42" t="str">
        <x:v>Action Register</x:v>
      </x:c>
      <x:c r="H14" s="42" t="str">
        <x:v>Shift + Alarm logs</x:v>
      </x:c>
      <x:c r="I14" s="42" t="str">
        <x:v>Owner / status / due-date evidence</x:v>
      </x:c>
      <x:c r="J14" s="42" t="str">
        <x:v>Action Tracker XLSX</x:v>
      </x:c>
    </x:row>
  </x:sheetData>
  <x:mergeCells>
    <x:mergeCell ref="A1:J1"/>
    <x:mergeCell ref="A2:J2"/>
    <x:mergeCell ref="A4:B4"/>
    <x:mergeCell ref="C4:D4"/>
    <x:mergeCell ref="E4:F4"/>
    <x:mergeCell ref="G4:H4"/>
    <x:mergeCell ref="I4:J4"/>
    <x:mergeCell ref="A5:B6"/>
    <x:mergeCell ref="C5:D6"/>
    <x:mergeCell ref="E5:F6"/>
    <x:mergeCell ref="G5:H6"/>
    <x:mergeCell ref="I5:J6"/>
    <x:mergeCell ref="F8:J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2" hidden="0" customWidth="1"/>
    <x:col min="4" max="4" width="42" hidden="0" customWidth="1"/>
    <x:col min="5" max="5" width="28" hidden="0" customWidth="1"/>
    <x:col min="6" max="6" width="26" hidden="0" customWidth="1"/>
    <x:col min="7" max="7" width="12" hidden="0" customWidth="1"/>
    <x:col min="8" max="8" width="13" hidden="0" customWidth="1"/>
    <x:col min="9" max="9" width="34" hidden="0" customWidth="1"/>
    <x:col min="10" max="10" width="38" hidden="0" customWidth="1"/>
    <x:col min="11" max="11" width="15" hidden="0" customWidth="1"/>
    <x:col min="12" max="12" width="32" hidden="0" customWidth="1"/>
    <x:col min="13" max="13" width="40" hidden="0" customWidth="1"/>
    <x:col min="14" max="14" width="36" hidden="0" customWidth="1"/>
    <x:col min="15" max="15" width="28" hidden="0" customWidth="1"/>
    <x:col min="16" max="16" width="30" hidden="0" customWidth="1"/>
    <x:col min="17" max="17" width="40" hidden="0" customWidth="1"/>
  </x:cols>
  <x:sheetData>
    <x:row r="1">
      <x:c r="A1" s="54" t="str">
        <x:v>Action ID</x:v>
      </x:c>
      <x:c r="B1" s="54" t="str">
        <x:v>Equipment</x:v>
      </x:c>
      <x:c r="C1" s="54" t="str">
        <x:v>Area</x:v>
      </x:c>
      <x:c r="D1" s="54" t="str">
        <x:v>Action / Task</x:v>
      </x:c>
      <x:c r="E1" s="54" t="str">
        <x:v>Action Category</x:v>
      </x:c>
      <x:c r="F1" s="54" t="str">
        <x:v>Responsible Function</x:v>
      </x:c>
      <x:c r="G1" s="54" t="str">
        <x:v>Priority</x:v>
      </x:c>
      <x:c r="H1" s="54" t="str">
        <x:v>Target Date</x:v>
      </x:c>
      <x:c r="I1" s="54" t="str">
        <x:v>Dependency</x:v>
      </x:c>
      <x:c r="J1" s="54" t="str">
        <x:v>Verification / Acceptance</x:v>
      </x:c>
      <x:c r="K1" s="54" t="str">
        <x:v>Status</x:v>
      </x:c>
      <x:c r="L1" s="54" t="str">
        <x:v>Source Document</x:v>
      </x:c>
      <x:c r="M1" s="54" t="str">
        <x:v>Evidence / Rationale</x:v>
      </x:c>
      <x:c r="N1" s="54" t="str">
        <x:v>Safety Control</x:v>
      </x:c>
      <x:c r="O1" s="54" t="str">
        <x:v>Deliverable / Record</x:v>
      </x:c>
      <x:c r="P1" s="54" t="str">
        <x:v>Related Event IDs</x:v>
      </x:c>
      <x:c r="Q1" s="54" t="str">
        <x:v>Notes</x:v>
      </x:c>
    </x:row>
    <x:row r="2">
      <x:c r="A2" s="42" t="str">
        <x:v>PA-204A-01</x:v>
      </x:c>
      <x:c r="B2" s="42" t="str">
        <x:v>P-204A</x:v>
      </x:c>
      <x:c r="C2" s="42" t="str">
        <x:v>Cooling Water System</x:v>
      </x:c>
      <x:c r="D2" s="42" t="str">
        <x:v>Investigate elevated vibration trend and review recurring maintenance findings.</x:v>
      </x:c>
      <x:c r="E2" s="42" t="str">
        <x:v>Condition Investigation</x:v>
      </x:c>
      <x:c r="F2" s="42" t="str">
        <x:v>Mechanical Maintenance</x:v>
      </x:c>
      <x:c r="G2" s="42" t="str">
        <x:v>High</x:v>
      </x:c>
      <x:c r="H2" s="59" t="n">
        <x:v>46285</x:v>
      </x:c>
      <x:c r="I2" s="42" t="str">
        <x:v>Access + approved work scope</x:v>
      </x:c>
      <x:c r="J2" s="42" t="str">
        <x:v>Inspection findings documented and linked to maintenance history.</x:v>
      </x:c>
      <x:c r="K2" s="42" t="str">
        <x:v>Open</x:v>
      </x:c>
      <x:c r="L2" s="42" t="str">
        <x:v>Pump Maintenance History + Alarm Log</x:v>
      </x:c>
      <x:c r="M2" s="42" t="str">
        <x:v>Recent field observation plus recurring historical concern.</x:v>
      </x:c>
      <x:c r="N2" s="42" t="str">
        <x:v>Apply approved isolation / LOTO before physical inspection.</x:v>
      </x:c>
      <x:c r="O2" s="42" t="str">
        <x:v>Inspection findings report</x:v>
      </x:c>
      <x:c r="P2" s="42" t="str">
        <x:v>EVT-204A-001; EVT-204A-006; EVT-204A-008</x:v>
      </x:c>
      <x:c r="Q2" s="42" t="str">
        <x:v>Do not invent vibration amplitude or alarm threshold.</x:v>
      </x:c>
    </x:row>
    <x:row r="3">
      <x:c r="A3" s="42" t="str">
        <x:v>PA-204A-02</x:v>
      </x:c>
      <x:c r="B3" s="42" t="str">
        <x:v>P-204A</x:v>
      </x:c>
      <x:c r="C3" s="42" t="str">
        <x:v>Coupling / Drive Train</x:v>
      </x:c>
      <x:c r="D3" s="42" t="str">
        <x:v>Inspect coupling condition and verify alignment.</x:v>
      </x:c>
      <x:c r="E3" s="42" t="str">
        <x:v>Mechanical Inspection</x:v>
      </x:c>
      <x:c r="F3" s="42" t="str">
        <x:v>Mechanical Maintenance</x:v>
      </x:c>
      <x:c r="G3" s="42" t="str">
        <x:v>High</x:v>
      </x:c>
      <x:c r="H3" s="59" t="n">
        <x:v>46285</x:v>
      </x:c>
      <x:c r="I3" s="42" t="str">
        <x:v>PA-204A-05; equipment isolated</x:v>
      </x:c>
      <x:c r="J3" s="42" t="str">
        <x:v>Alignment verified using approved method and findings recorded.</x:v>
      </x:c>
      <x:c r="K3" s="42" t="str">
        <x:v>Open</x:v>
      </x:c>
      <x:c r="L3" s="42" t="str">
        <x:v>Pump Maintenance Procedure + Maintenance History</x:v>
      </x:c>
      <x:c r="M3" s="42" t="str">
        <x:v>Alignment inspection remains a documented open item.</x:v>
      </x:c>
      <x:c r="N3" s="42" t="str">
        <x:v>LOTO; prevent unexpected shaft movement; guards restored before restart.</x:v>
      </x:c>
      <x:c r="O3" s="42" t="str">
        <x:v>Alignment inspection record</x:v>
      </x:c>
      <x:c r="P3" s="42" t="str">
        <x:v>EVT-204A-004; EVT-204A-010</x:v>
      </x:c>
      <x:c r="Q3" s="42" t="str">
        <x:v>Use procedure acceptance criteria; values not supplied here.</x:v>
      </x:c>
    </x:row>
    <x:row r="4">
      <x:c r="A4" s="42" t="str">
        <x:v>PA-204A-03</x:v>
      </x:c>
      <x:c r="B4" s="42" t="str">
        <x:v>P-204A</x:v>
      </x:c>
      <x:c r="C4" s="42" t="str">
        <x:v>Bearing Assembly</x:v>
      </x:c>
      <x:c r="D4" s="42" t="str">
        <x:v>Inspect bearing condition and document findings.</x:v>
      </x:c>
      <x:c r="E4" s="42" t="str">
        <x:v>Mechanical Inspection</x:v>
      </x:c>
      <x:c r="F4" s="42" t="str">
        <x:v>Mechanical Maintenance</x:v>
      </x:c>
      <x:c r="G4" s="42" t="str">
        <x:v>Medium</x:v>
      </x:c>
      <x:c r="H4" s="59" t="n">
        <x:v>46286</x:v>
      </x:c>
      <x:c r="I4" s="42" t="str">
        <x:v>PA-204A-05; access prepared</x:v>
      </x:c>
      <x:c r="J4" s="42" t="str">
        <x:v>Bearing condition assessment completed and documented.</x:v>
      </x:c>
      <x:c r="K4" s="42" t="str">
        <x:v>Open</x:v>
      </x:c>
      <x:c r="L4" s="42" t="str">
        <x:v>Pump Maintenance Procedure + Maintenance History</x:v>
      </x:c>
      <x:c r="M4" s="42" t="str">
        <x:v>Bearing inspection is a pending maintenance activity.</x:v>
      </x:c>
      <x:c r="N4" s="42" t="str">
        <x:v>LOTO; clean handling; suitable tools and lifting controls.</x:v>
      </x:c>
      <x:c r="O4" s="42" t="str">
        <x:v>Bearing inspection record</x:v>
      </x:c>
      <x:c r="P4" s="42" t="str">
        <x:v>EVT-204A-009</x:v>
      </x:c>
      <x:c r="Q4" s="42" t="str">
        <x:v>Do not infer bearing condition without inspection evidence.</x:v>
      </x:c>
    </x:row>
    <x:row r="5">
      <x:c r="A5" s="42" t="str">
        <x:v>PA-204A-04</x:v>
      </x:c>
      <x:c r="B5" s="42" t="str">
        <x:v>P-204A</x:v>
      </x:c>
      <x:c r="C5" s="42" t="str">
        <x:v>Mechanical Seal</x:v>
      </x:c>
      <x:c r="D5" s="42" t="str">
        <x:v>Inspect mechanical seal and investigate minor leakage.</x:v>
      </x:c>
      <x:c r="E5" s="42" t="str">
        <x:v>Leakage Investigation</x:v>
      </x:c>
      <x:c r="F5" s="42" t="str">
        <x:v>Mechanical Maintenance</x:v>
      </x:c>
      <x:c r="G5" s="42" t="str">
        <x:v>High</x:v>
      </x:c>
      <x:c r="H5" s="59" t="n">
        <x:v>46285</x:v>
      </x:c>
      <x:c r="I5" s="42" t="str">
        <x:v>PA-204A-05; casing safely isolated/drained</x:v>
      </x:c>
      <x:c r="J5" s="42" t="str">
        <x:v>Seal condition documented; corrective action identified if required.</x:v>
      </x:c>
      <x:c r="K5" s="42" t="str">
        <x:v>Open</x:v>
      </x:c>
      <x:c r="L5" s="42" t="str">
        <x:v>Pump Maintenance History + Daily Shift Log</x:v>
      </x:c>
      <x:c r="M5" s="42" t="str">
        <x:v>Minor leakage observed and historical seal issue retained.</x:v>
      </x:c>
      <x:c r="N5" s="42" t="str">
        <x:v>Line isolation, depressurization, drainage and required PPE.</x:v>
      </x:c>
      <x:c r="O5" s="42" t="str">
        <x:v>Seal inspection / maintenance record</x:v>
      </x:c>
      <x:c r="P5" s="42" t="str">
        <x:v>EVT-204A-002; EVT-204A-012</x:v>
      </x:c>
      <x:c r="Q5" s="42" t="str">
        <x:v>Observation is not a confirmed seal failure.</x:v>
      </x:c>
    </x:row>
    <x:row r="6">
      <x:c r="A6" s="42" t="str">
        <x:v>PA-204A-05</x:v>
      </x:c>
      <x:c r="B6" s="42" t="str">
        <x:v>P-204A</x:v>
      </x:c>
      <x:c r="C6" s="42" t="str">
        <x:v>Energy Isolation</x:v>
      </x:c>
      <x:c r="D6" s="42" t="str">
        <x:v>Confirm approved permit, electrical isolation, process isolation and LOTO before physical work.</x:v>
      </x:c>
      <x:c r="E6" s="42" t="str">
        <x:v>Safety / Control</x:v>
      </x:c>
      <x:c r="F6" s="42" t="str">
        <x:v>Operations + Maintenance</x:v>
      </x:c>
      <x:c r="G6" s="42" t="str">
        <x:v>Critical</x:v>
      </x:c>
      <x:c r="H6" s="59" t="n">
        <x:v>46285</x:v>
      </x:c>
      <x:c r="I6" s="42" t="str">
        <x:v>Approved work package</x:v>
      </x:c>
      <x:c r="J6" s="42" t="str">
        <x:v>Zero-energy state verified; permit/LOTO controls recorded.</x:v>
      </x:c>
      <x:c r="K6" s="42" t="str">
        <x:v>Open</x:v>
      </x:c>
      <x:c r="L6" s="42" t="str">
        <x:v>Pump Safety / LOTO Procedure</x:v>
      </x:c>
      <x:c r="M6" s="42" t="str">
        <x:v>Physical maintenance cannot proceed without applicable safety controls.</x:v>
      </x:c>
      <x:c r="N6" s="42" t="str">
        <x:v>Approved LOTO; pressure relief; drain/vent; verification.</x:v>
      </x:c>
      <x:c r="O6" s="42" t="str">
        <x:v>Permit / LOTO record</x:v>
      </x:c>
      <x:c r="P6" s="42" t="str">
        <x:v>EVT-204A-005; EVT-204A-013</x:v>
      </x:c>
      <x:c r="Q6" s="42" t="str">
        <x:v>Detailed controls must come from approved site procedure.</x:v>
      </x:c>
    </x:row>
    <x:row r="7">
      <x:c r="A7" s="42" t="str">
        <x:v>PA-204A-06</x:v>
      </x:c>
      <x:c r="B7" s="42" t="str">
        <x:v>P-204A</x:v>
      </x:c>
      <x:c r="C7" s="42" t="str">
        <x:v>Maintenance Records</x:v>
      </x:c>
      <x:c r="D7" s="42" t="str">
        <x:v>Document inspection findings, corrective actions and post-maintenance verification.</x:v>
      </x:c>
      <x:c r="E7" s="42" t="str">
        <x:v>Documentation / Closeout</x:v>
      </x:c>
      <x:c r="F7" s="42" t="str">
        <x:v>Mechanical Maintenance</x:v>
      </x:c>
      <x:c r="G7" s="42" t="str">
        <x:v>Medium</x:v>
      </x:c>
      <x:c r="H7" s="59" t="n">
        <x:v>46287</x:v>
      </x:c>
      <x:c r="I7" s="42" t="str">
        <x:v>Completion of PA-204A-01 to PA-204A-04</x:v>
      </x:c>
      <x:c r="J7" s="42" t="str">
        <x:v>All findings, actions and restart checks recorded.</x:v>
      </x:c>
      <x:c r="K7" s="42" t="str">
        <x:v>Monitoring</x:v>
      </x:c>
      <x:c r="L7" s="42" t="str">
        <x:v>Pump Maintenance Procedure + Shift Log</x:v>
      </x:c>
      <x:c r="M7" s="42" t="str">
        <x:v>Current action set requires documented closure.</x:v>
      </x:c>
      <x:c r="N7" s="42" t="str">
        <x:v>Follow controlled reinstatement / restart process.</x:v>
      </x:c>
      <x:c r="O7" s="42" t="str">
        <x:v>Maintenance closeout report</x:v>
      </x:c>
      <x:c r="P7" s="42" t="str">
        <x:v>EVT-204A-003; EVT-204A-014</x:v>
      </x:c>
      <x:c r="Q7" s="42" t="str">
        <x:v>Close only after evidence is recorded.</x:v>
      </x:c>
    </x:row>
    <x:row r="8">
      <x:c r="A8" s="42" t="str">
        <x:v>PA-204A-07</x:v>
      </x:c>
      <x:c r="B8" s="42" t="str">
        <x:v>P-204A</x:v>
      </x:c>
      <x:c r="C8" s="42" t="str">
        <x:v>Post-Maintenance Monitoring</x:v>
      </x:c>
      <x:c r="D8" s="42" t="str">
        <x:v>Monitor vibration, seal leakage and operating condition after maintenance.</x:v>
      </x:c>
      <x:c r="E8" s="42" t="str">
        <x:v>Post-Maintenance Verification</x:v>
      </x:c>
      <x:c r="F8" s="42" t="str">
        <x:v>Operations + Maintenance</x:v>
      </x:c>
      <x:c r="G8" s="42" t="str">
        <x:v>High</x:v>
      </x:c>
      <x:c r="H8" s="59" t="n">
        <x:v>46288</x:v>
      </x:c>
      <x:c r="I8" s="42" t="str">
        <x:v>PA-204A-02 to PA-204A-04 complete</x:v>
      </x:c>
      <x:c r="J8" s="42" t="str">
        <x:v>Post-maintenance observations recorded and any abnormality escalated.</x:v>
      </x:c>
      <x:c r="K8" s="42" t="str">
        <x:v>Monitoring</x:v>
      </x:c>
      <x:c r="L8" s="42" t="str">
        <x:v>Pump Maintenance Procedure</x:v>
      </x:c>
      <x:c r="M8" s="42" t="str">
        <x:v>Procedure requires post-start monitoring.</x:v>
      </x:c>
      <x:c r="N8" s="42" t="str">
        <x:v>Controlled restart; guards installed; personnel clear.</x:v>
      </x:c>
      <x:c r="O8" s="42" t="str">
        <x:v>Post-maintenance monitoring log</x:v>
      </x:c>
      <x:c r="P8" s="42" t="str">
        <x:v>EVT-204A-007</x:v>
      </x:c>
      <x:c r="Q8" s="42" t="str">
        <x:v>No numerical acceptance values supplied in demo source.</x:v>
      </x:c>
    </x:row>
    <x:row r="9">
      <x:c r="A9" s="42" t="str">
        <x:v>PA-204A-08</x:v>
      </x:c>
      <x:c r="B9" s="42" t="str">
        <x:v>P-204A</x:v>
      </x:c>
      <x:c r="C9" s="42" t="str">
        <x:v>Shift Handover</x:v>
      </x:c>
      <x:c r="D9" s="42" t="str">
        <x:v>Carry unresolved P-204A actions into next-shift handover.</x:v>
      </x:c>
      <x:c r="E9" s="42" t="str">
        <x:v>Handover</x:v>
      </x:c>
      <x:c r="F9" s="42" t="str">
        <x:v>Shift Operations</x:v>
      </x:c>
      <x:c r="G9" s="42" t="str">
        <x:v>Medium</x:v>
      </x:c>
      <x:c r="H9" s="59" t="n">
        <x:v>46285</x:v>
      </x:c>
      <x:c r="I9" s="42" t="str">
        <x:v>Open action list</x:v>
      </x:c>
      <x:c r="J9" s="42" t="str">
        <x:v>Incoming team receives current issues and safety dependencies.</x:v>
      </x:c>
      <x:c r="K9" s="42" t="str">
        <x:v>Monitoring</x:v>
      </x:c>
      <x:c r="L9" s="42" t="str">
        <x:v>Daily Shift Log</x:v>
      </x:c>
      <x:c r="M9" s="42" t="str">
        <x:v>Open actions were explicitly prepared for handover.</x:v>
      </x:c>
      <x:c r="N9" s="42" t="str">
        <x:v>Communicate isolation and work status accurately.</x:v>
      </x:c>
      <x:c r="O9" s="42" t="str">
        <x:v>Shift handover note</x:v>
      </x:c>
      <x:c r="P9" s="42" t="str">
        <x:v>EVT-204A-007</x:v>
      </x:c>
      <x:c r="Q9" s="42" t="str">
        <x:v>Do not add unsupported engineering conclusions.</x:v>
      </x:c>
    </x:row>
    <x:row r="10">
      <x:c r="A10" s="42" t="str">
        <x:v>PA-204A-09</x:v>
      </x:c>
      <x:c r="B10" s="42" t="str">
        <x:v>P-204A</x:v>
      </x:c>
      <x:c r="C10" s="42" t="str">
        <x:v>Documentation</x:v>
      </x:c>
      <x:c r="D10" s="42" t="str">
        <x:v>Link completed work-order findings to historical maintenance records.</x:v>
      </x:c>
      <x:c r="E10" s="42" t="str">
        <x:v>Knowledge Capture</x:v>
      </x:c>
      <x:c r="F10" s="42" t="str">
        <x:v>Maintenance Planning</x:v>
      </x:c>
      <x:c r="G10" s="42" t="str">
        <x:v>Low</x:v>
      </x:c>
      <x:c r="H10" s="59" t="n">
        <x:v>46289</x:v>
      </x:c>
      <x:c r="I10" s="42" t="str">
        <x:v>PA-204A-06 completed</x:v>
      </x:c>
      <x:c r="J10" s="42" t="str">
        <x:v>Future maintenance history references the completed intervention.</x:v>
      </x:c>
      <x:c r="K10" s="42" t="str">
        <x:v>Not Started</x:v>
      </x:c>
      <x:c r="L10" s="42" t="str">
        <x:v>Pump Maintenance History</x:v>
      </x:c>
      <x:c r="M10" s="42" t="str">
        <x:v>Maintains traceability for future RAG retrieval.</x:v>
      </x:c>
      <x:c r="N10" s="42" t="str">
        <x:v>Follow document-control requirements.</x:v>
      </x:c>
      <x:c r="O10" s="42" t="str">
        <x:v>Updated maintenance record</x:v>
      </x:c>
      <x:c r="P10" s="42" t="str">
        <x:v>EVT-204A-011</x:v>
      </x:c>
      <x:c r="Q10" s="42" t="str">
        <x:v>Use approved document-control system in real deployment.</x:v>
      </x:c>
    </x:row>
    <x:row r="11">
      <x:c r="A11" s="42" t="str">
        <x:v>PA-204A-10</x:v>
      </x:c>
      <x:c r="B11" s="42" t="str">
        <x:v>P-204A</x:v>
      </x:c>
      <x:c r="C11" s="42" t="str">
        <x:v>Corrective Planning</x:v>
      </x:c>
      <x:c r="D11" s="42" t="str">
        <x:v>Review inspection findings and determine whether additional corrective work is required.</x:v>
      </x:c>
      <x:c r="E11" s="42" t="str">
        <x:v>Engineering Review</x:v>
      </x:c>
      <x:c r="F11" s="42" t="str">
        <x:v>Maintenance Engineering</x:v>
      </x:c>
      <x:c r="G11" s="42" t="str">
        <x:v>Medium</x:v>
      </x:c>
      <x:c r="H11" s="59" t="n">
        <x:v>46290</x:v>
      </x:c>
      <x:c r="I11" s="42" t="str">
        <x:v>PA-204A-01 to PA-204A-04 findings</x:v>
      </x:c>
      <x:c r="J11" s="42" t="str">
        <x:v>Engineering review outcome documented with evidence.</x:v>
      </x:c>
      <x:c r="K11" s="42" t="str">
        <x:v>Not Started</x:v>
      </x:c>
      <x:c r="L11" s="42" t="str">
        <x:v>Pump Maintenance History + Maintenance Procedure</x:v>
      </x:c>
      <x:c r="M11" s="42" t="str">
        <x:v>Follow-up planning depends on inspection evidence.</x:v>
      </x:c>
      <x:c r="N11" s="42" t="str">
        <x:v>Apply relevant engineering and safety controls.</x:v>
      </x:c>
      <x:c r="O11" s="42" t="str">
        <x:v>Corrective action recommendation</x:v>
      </x:c>
      <x:c r="P11" s="42" t="str">
        <x:v>EVT-204A-006</x:v>
      </x:c>
      <x:c r="Q11" s="42" t="str">
        <x:v>Do not generate a root cause without evidence.</x:v>
      </x:c>
    </x:row>
    <x:row r="12">
      <x:c r="A12" s="42" t="str">
        <x:v>PA-204A-11</x:v>
      </x:c>
      <x:c r="B12" s="42" t="str">
        <x:v>P-204A</x:v>
      </x:c>
      <x:c r="C12" s="42" t="str">
        <x:v>Work Planning</x:v>
      </x:c>
      <x:c r="D12" s="42" t="str">
        <x:v>Confirm required tools and instruments are available before maintenance.</x:v>
      </x:c>
      <x:c r="E12" s="42" t="str">
        <x:v>Preparation</x:v>
      </x:c>
      <x:c r="F12" s="42" t="str">
        <x:v>Mechanical Maintenance</x:v>
      </x:c>
      <x:c r="G12" s="42" t="str">
        <x:v>Medium</x:v>
      </x:c>
      <x:c r="H12" s="59" t="n">
        <x:v>46285</x:v>
      </x:c>
      <x:c r="I12" s="42" t="str">
        <x:v>Work scope defined</x:v>
      </x:c>
      <x:c r="J12" s="42" t="str">
        <x:v>Tool list checked and missing items resolved.</x:v>
      </x:c>
      <x:c r="K12" s="42" t="str">
        <x:v>Open</x:v>
      </x:c>
      <x:c r="L12" s="42" t="str">
        <x:v>Pump Maintenance Procedure</x:v>
      </x:c>
      <x:c r="M12" s="42" t="str">
        <x:v>Procedure identifies tools/instruments required for inspection tasks.</x:v>
      </x:c>
      <x:c r="N12" s="42" t="str">
        <x:v>Inspect lifting/tool condition before use where applicable.</x:v>
      </x:c>
      <x:c r="O12" s="42" t="str">
        <x:v>Tool readiness checklist</x:v>
      </x:c>
      <x:c r="P12" s="42" t="str">
        <x:v>EVT-204A-004</x:v>
      </x:c>
      <x:c r="Q12" s="42" t="str">
        <x:v>Exact site inventory not included in demo data.</x:v>
      </x:c>
    </x:row>
    <x:row r="13">
      <x:c r="A13" s="42" t="str">
        <x:v>PA-204A-12</x:v>
      </x:c>
      <x:c r="B13" s="42" t="str">
        <x:v>P-204A</x:v>
      </x:c>
      <x:c r="C13" s="42" t="str">
        <x:v>Area Readiness</x:v>
      </x:c>
      <x:c r="D13" s="42" t="str">
        <x:v>Confirm work area access, housekeeping, lighting and spill controls.</x:v>
      </x:c>
      <x:c r="E13" s="42" t="str">
        <x:v>Preparation / Safety</x:v>
      </x:c>
      <x:c r="F13" s="42" t="str">
        <x:v>Operations + Maintenance</x:v>
      </x:c>
      <x:c r="G13" s="42" t="str">
        <x:v>Medium</x:v>
      </x:c>
      <x:c r="H13" s="59" t="n">
        <x:v>46285</x:v>
      </x:c>
      <x:c r="I13" s="42" t="str">
        <x:v>Planned work window</x:v>
      </x:c>
      <x:c r="J13" s="42" t="str">
        <x:v>Area confirmed ready for maintenance.</x:v>
      </x:c>
      <x:c r="K13" s="42" t="str">
        <x:v>Open</x:v>
      </x:c>
      <x:c r="L13" s="42" t="str">
        <x:v>Pump Safety / LOTO Procedure</x:v>
      </x:c>
      <x:c r="M13" s="42" t="str">
        <x:v>Safety procedure includes access, housekeeping and spill-control checks.</x:v>
      </x:c>
      <x:c r="N13" s="42" t="str">
        <x:v>Barricade as required; manage residual fluid and trip hazards.</x:v>
      </x:c>
      <x:c r="O13" s="42" t="str">
        <x:v>Area readiness checklist</x:v>
      </x:c>
      <x:c r="P13" s="42" t="str">
        <x:v>EVT-204A-013</x:v>
      </x:c>
      <x:c r="Q13" s="42" t="str">
        <x:v>Site-specific hazards require approved risk assessment.</x:v>
      </x:c>
    </x:row>
    <x:row r="14">
      <x:c r="A14" s="42" t="str">
        <x:v>PA-204A-13</x:v>
      </x:c>
      <x:c r="B14" s="42" t="str">
        <x:v>P-204A</x:v>
      </x:c>
      <x:c r="C14" s="42" t="str">
        <x:v>Restart</x:v>
      </x:c>
      <x:c r="D14" s="42" t="str">
        <x:v>Verify guards, fasteners, drains/vents and work area before controlled restart.</x:v>
      </x:c>
      <x:c r="E14" s="42" t="str">
        <x:v>Restart Verification</x:v>
      </x:c>
      <x:c r="F14" s="42" t="str">
        <x:v>Mechanical Maintenance + Operations</x:v>
      </x:c>
      <x:c r="G14" s="42" t="str">
        <x:v>High</x:v>
      </x:c>
      <x:c r="H14" s="59" t="n">
        <x:v>46287</x:v>
      </x:c>
      <x:c r="I14" s="42" t="str">
        <x:v>Mechanical completion</x:v>
      </x:c>
      <x:c r="J14" s="42" t="str">
        <x:v>Pre-start checklist completed and equipment released.</x:v>
      </x:c>
      <x:c r="K14" s="42" t="str">
        <x:v>Not Started</x:v>
      </x:c>
      <x:c r="L14" s="42" t="str">
        <x:v>Pump Safety / LOTO Procedure + Maintenance Procedure</x:v>
      </x:c>
      <x:c r="M14" s="42" t="str">
        <x:v>Controlled reinstatement requires completion checks.</x:v>
      </x:c>
      <x:c r="N14" s="42" t="str">
        <x:v>Personnel clear; locks/tags cleared per approved procedure.</x:v>
      </x:c>
      <x:c r="O14" s="42" t="str">
        <x:v>Restart checklist</x:v>
      </x:c>
      <x:c r="P14" s="42" t="str">
        <x:v>EVT-204A-003</x:v>
      </x:c>
      <x:c r="Q14" s="42" t="str">
        <x:v>Do not bypass formal lock-removal process.</x:v>
      </x:c>
    </x:row>
    <x:row r="15">
      <x:c r="A15" s="42" t="str">
        <x:v>PA-204A-14</x:v>
      </x:c>
      <x:c r="B15" s="42" t="str">
        <x:v>P-204A</x:v>
      </x:c>
      <x:c r="C15" s="42" t="str">
        <x:v>Closeout</x:v>
      </x:c>
      <x:c r="D15" s="42" t="str">
        <x:v>Record final maintenance status and unresolved exceptions, if any.</x:v>
      </x:c>
      <x:c r="E15" s="42" t="str">
        <x:v>Closeout</x:v>
      </x:c>
      <x:c r="F15" s="42" t="str">
        <x:v>Maintenance Planning</x:v>
      </x:c>
      <x:c r="G15" s="42" t="str">
        <x:v>Low</x:v>
      </x:c>
      <x:c r="H15" s="59" t="n">
        <x:v>46289</x:v>
      </x:c>
      <x:c r="I15" s="42" t="str">
        <x:v>PA-204A-06 and PA-204A-13</x:v>
      </x:c>
      <x:c r="J15" s="42" t="str">
        <x:v>Status reflects documented evidence and any outstanding exceptions.</x:v>
      </x:c>
      <x:c r="K15" s="42" t="str">
        <x:v>Not Started</x:v>
      </x:c>
      <x:c r="L15" s="42" t="str">
        <x:v>Maintenance History + Shift Log</x:v>
      </x:c>
      <x:c r="M15" s="42" t="str">
        <x:v>Provides clean RAG source for future questions.</x:v>
      </x:c>
      <x:c r="N15" s="42" t="str">
        <x:v>Document control and approved handover process.</x:v>
      </x:c>
      <x:c r="O15" s="42" t="str">
        <x:v>Final maintenance status record</x:v>
      </x:c>
      <x:c r="P15" s="42" t="str">
        <x:v>EVT-204A-011; EVT-204A-014</x:v>
      </x:c>
      <x:c r="Q15" s="42" t="str">
        <x:v>Do not mark closed merely because work was scheduled.</x:v>
      </x:c>
    </x:row>
    <x:row r="16">
      <x:c r="A16" s="42" t="str">
        <x:v>PA-204A-15</x:v>
      </x:c>
      <x:c r="B16" s="42" t="str">
        <x:v>P-204A</x:v>
      </x:c>
      <x:c r="C16" s="42" t="str">
        <x:v>RAG / Knowledge Capture</x:v>
      </x:c>
      <x:c r="D16" s="42" t="str">
        <x:v>Attach final work-order and inspection artifact references to the workspace knowledge record.</x:v>
      </x:c>
      <x:c r="E16" s="42" t="str">
        <x:v>Knowledge Capture</x:v>
      </x:c>
      <x:c r="F16" s="42" t="str">
        <x:v>SovAI Workspace / Maintenance Planning</x:v>
      </x:c>
      <x:c r="G16" s="42" t="str">
        <x:v>Low</x:v>
      </x:c>
      <x:c r="H16" s="59" t="n">
        <x:v>46290</x:v>
      </x:c>
      <x:c r="I16" s="42" t="str">
        <x:v>Final artifacts generated</x:v>
      </x:c>
      <x:c r="J16" s="42" t="str">
        <x:v>Artifacts have stable names and source references.</x:v>
      </x:c>
      <x:c r="K16" s="42" t="str">
        <x:v>Not Started</x:v>
      </x:c>
      <x:c r="L16" s="42" t="str">
        <x:v>SovAI Workspace Records + Maintenance History</x:v>
      </x:c>
      <x:c r="M16" s="42" t="str">
        <x:v>Supports later user questions such as 'what happened after maintenance?'</x:v>
      </x:c>
      <x:c r="N16" s="42" t="str">
        <x:v>Do not store restricted information outside approved workspace controls.</x:v>
      </x:c>
      <x:c r="O16" s="42" t="str">
        <x:v>Artifact index entry</x:v>
      </x:c>
      <x:c r="P16" s="42" t="str">
        <x:v>EVT-204A-011</x:v>
      </x:c>
      <x:c r="Q16" s="42" t="str">
        <x:v>Prototype workflow; real deployment should use approved records management.</x:v>
      </x:c>
    </x:row>
  </x:sheetData>
  <x:conditionalFormatting sqref="G2:G100">
    <x:cfRule type="expression" dxfId="0" priority="1">
      <x:formula>G2="Critical"</x:formula>
    </x:cfRule>
    <x:cfRule type="expression" dxfId="1" priority="2">
      <x:formula>G2="High"</x:formula>
    </x:cfRule>
  </x:conditionalFormatting>
  <x:conditionalFormatting sqref="K2:K100">
    <x:cfRule type="expression" dxfId="2" priority="3">
      <x:formula>K2="Blocked"</x:formula>
    </x:cfRule>
    <x:cfRule type="expression" dxfId="3" priority="4">
      <x:formula>K2="In Progress"</x:formula>
    </x:cfRule>
    <x:cfRule type="expression" dxfId="4" priority="5">
      <x:formula>K2="Closed"</x:formula>
    </x:cfRule>
  </x:conditionalFormatting>
  <x:dataValidations count="3">
    <x:dataValidation type="list" sqref="G2:G100">
      <x:formula1>"Critical,High,Medium,Low"</x:formula1>
    </x:dataValidation>
    <x:dataValidation type="list" sqref="K2:K100">
      <x:formula1>"Not Started,Open,In Progress,Monitoring,Blocked,Closed"</x:formula1>
    </x:dataValidation>
    <x:dataValidation type="list" sqref="F2:F100">
      <x:formula1>"Operations + Maintenance,Mechanical Maintenance,Maintenance Engineering,Shift Operations,Maintenance Planning,Mechanical Maintenance + Operations,SovAI Workspace / Maintenance Planning"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95e6a9045748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6" hidden="0" customWidth="1"/>
    <x:col min="4" max="4" width="28" hidden="0" customWidth="1"/>
    <x:col min="5" max="5" width="30" hidden="0" customWidth="1"/>
    <x:col min="6" max="6" width="26" hidden="0" customWidth="1"/>
    <x:col min="7" max="7" width="15" hidden="0" customWidth="1"/>
    <x:col min="8" max="8" width="34" hidden="0" customWidth="1"/>
  </x:cols>
  <x:sheetData>
    <x:row r="1">
      <x:c r="A1" s="62" t="str">
        <x:v>P-204A — Maintenance Execution Checklist</x:v>
      </x:c>
    </x:row>
    <x:row r="3">
      <x:c r="A3" s="66" t="str">
        <x:v>Phase</x:v>
      </x:c>
      <x:c r="B3" s="66" t="str">
        <x:v>Checklist Item</x:v>
      </x:c>
      <x:c r="C3" s="66" t="str">
        <x:v>Related Action</x:v>
      </x:c>
      <x:c r="D3" s="66" t="str">
        <x:v>Required Before</x:v>
      </x:c>
      <x:c r="E3" s="66" t="str">
        <x:v>Evidence / Record</x:v>
      </x:c>
      <x:c r="F3" s="66" t="str">
        <x:v>Owner</x:v>
      </x:c>
      <x:c r="G3" s="66" t="str">
        <x:v>Status</x:v>
      </x:c>
      <x:c r="H3" s="66" t="str">
        <x:v>Grounding Source</x:v>
      </x:c>
    </x:row>
    <x:row r="4">
      <x:c r="A4" s="42" t="str">
        <x:v>Planning</x:v>
      </x:c>
      <x:c r="B4" s="42" t="str">
        <x:v>Confirm equipment tag P-204A and work scope</x:v>
      </x:c>
      <x:c r="C4" s="42" t="str">
        <x:v>PA-204A-01</x:v>
      </x:c>
      <x:c r="D4" s="42" t="str">
        <x:v>Work package start</x:v>
      </x:c>
      <x:c r="E4" s="42" t="str">
        <x:v>Work package / job reference</x:v>
      </x:c>
      <x:c r="F4" s="42" t="str">
        <x:v>Maintenance Planning</x:v>
      </x:c>
      <x:c r="G4" s="42" t="str">
        <x:v>Open</x:v>
      </x:c>
      <x:c r="H4" s="42" t="str">
        <x:v>Maintenance History</x:v>
      </x:c>
    </x:row>
    <x:row r="5">
      <x:c r="A5" s="42" t="str">
        <x:v>Planning</x:v>
      </x:c>
      <x:c r="B5" s="42" t="str">
        <x:v>Confirm applicable maintenance procedure</x:v>
      </x:c>
      <x:c r="C5" s="42" t="str">
        <x:v>PA-204A-01</x:v>
      </x:c>
      <x:c r="D5" s="42" t="str">
        <x:v>Work execution</x:v>
      </x:c>
      <x:c r="E5" s="42" t="str">
        <x:v>Procedure reference</x:v>
      </x:c>
      <x:c r="F5" s="42" t="str">
        <x:v>Maintenance Planning</x:v>
      </x:c>
      <x:c r="G5" s="42" t="str">
        <x:v>Open</x:v>
      </x:c>
      <x:c r="H5" s="42" t="str">
        <x:v>Maintenance Procedure</x:v>
      </x:c>
    </x:row>
    <x:row r="6">
      <x:c r="A6" s="42" t="str">
        <x:v>Planning</x:v>
      </x:c>
      <x:c r="B6" s="42" t="str">
        <x:v>Confirm permit / LOTO requirements</x:v>
      </x:c>
      <x:c r="C6" s="42" t="str">
        <x:v>PA-204A-05</x:v>
      </x:c>
      <x:c r="D6" s="42" t="str">
        <x:v>Physical work</x:v>
      </x:c>
      <x:c r="E6" s="42" t="str">
        <x:v>Permit / LOTO record</x:v>
      </x:c>
      <x:c r="F6" s="42" t="str">
        <x:v>Operations + Maintenance</x:v>
      </x:c>
      <x:c r="G6" s="42" t="str">
        <x:v>Open</x:v>
      </x:c>
      <x:c r="H6" s="42" t="str">
        <x:v>Safety / LOTO Procedure</x:v>
      </x:c>
    </x:row>
    <x:row r="7">
      <x:c r="A7" s="42" t="str">
        <x:v>Preparation</x:v>
      </x:c>
      <x:c r="B7" s="42" t="str">
        <x:v>Confirm required tools / instruments</x:v>
      </x:c>
      <x:c r="C7" s="42" t="str">
        <x:v>PA-204A-11</x:v>
      </x:c>
      <x:c r="D7" s="42" t="str">
        <x:v>Inspection start</x:v>
      </x:c>
      <x:c r="E7" s="42" t="str">
        <x:v>Tool readiness checklist</x:v>
      </x:c>
      <x:c r="F7" s="42" t="str">
        <x:v>Mechanical Maintenance</x:v>
      </x:c>
      <x:c r="G7" s="42" t="str">
        <x:v>Open</x:v>
      </x:c>
      <x:c r="H7" s="42" t="str">
        <x:v>Maintenance Procedure</x:v>
      </x:c>
    </x:row>
    <x:row r="8">
      <x:c r="A8" s="42" t="str">
        <x:v>Preparation</x:v>
      </x:c>
      <x:c r="B8" s="42" t="str">
        <x:v>Confirm work-area readiness and spill controls</x:v>
      </x:c>
      <x:c r="C8" s="42" t="str">
        <x:v>PA-204A-12</x:v>
      </x:c>
      <x:c r="D8" s="42" t="str">
        <x:v>Physical work</x:v>
      </x:c>
      <x:c r="E8" s="42" t="str">
        <x:v>Area readiness check</x:v>
      </x:c>
      <x:c r="F8" s="42" t="str">
        <x:v>Operations + Maintenance</x:v>
      </x:c>
      <x:c r="G8" s="42" t="str">
        <x:v>Open</x:v>
      </x:c>
      <x:c r="H8" s="42" t="str">
        <x:v>Safety / LOTO Procedure</x:v>
      </x:c>
    </x:row>
    <x:row r="9">
      <x:c r="A9" s="42" t="str">
        <x:v>Isolation</x:v>
      </x:c>
      <x:c r="B9" s="42" t="str">
        <x:v>Electrical isolation applied</x:v>
      </x:c>
      <x:c r="C9" s="42" t="str">
        <x:v>PA-204A-05</x:v>
      </x:c>
      <x:c r="D9" s="42" t="str">
        <x:v>Equipment opening</x:v>
      </x:c>
      <x:c r="E9" s="42" t="str">
        <x:v>Isolation record</x:v>
      </x:c>
      <x:c r="F9" s="42" t="str">
        <x:v>Operations</x:v>
      </x:c>
      <x:c r="G9" s="42" t="str">
        <x:v>Open</x:v>
      </x:c>
      <x:c r="H9" s="42" t="str">
        <x:v>Safety / LOTO Procedure</x:v>
      </x:c>
    </x:row>
    <x:row r="10">
      <x:c r="A10" s="42" t="str">
        <x:v>Isolation</x:v>
      </x:c>
      <x:c r="B10" s="42" t="str">
        <x:v>Process isolation / depressurization / drainage completed</x:v>
      </x:c>
      <x:c r="C10" s="42" t="str">
        <x:v>PA-204A-05</x:v>
      </x:c>
      <x:c r="D10" s="42" t="str">
        <x:v>Equipment opening</x:v>
      </x:c>
      <x:c r="E10" s="42" t="str">
        <x:v>Isolation verification</x:v>
      </x:c>
      <x:c r="F10" s="42" t="str">
        <x:v>Operations</x:v>
      </x:c>
      <x:c r="G10" s="42" t="str">
        <x:v>Open</x:v>
      </x:c>
      <x:c r="H10" s="42" t="str">
        <x:v>Safety / LOTO Procedure</x:v>
      </x:c>
    </x:row>
    <x:row r="11">
      <x:c r="A11" s="42" t="str">
        <x:v>Isolation</x:v>
      </x:c>
      <x:c r="B11" s="42" t="str">
        <x:v>Zero-energy condition verified</x:v>
      </x:c>
      <x:c r="C11" s="42" t="str">
        <x:v>PA-204A-05</x:v>
      </x:c>
      <x:c r="D11" s="42" t="str">
        <x:v>Maintenance intervention</x:v>
      </x:c>
      <x:c r="E11" s="42" t="str">
        <x:v>LOTO verification</x:v>
      </x:c>
      <x:c r="F11" s="42" t="str">
        <x:v>Authorized Personnel</x:v>
      </x:c>
      <x:c r="G11" s="42" t="str">
        <x:v>Open</x:v>
      </x:c>
      <x:c r="H11" s="42" t="str">
        <x:v>Safety / LOTO Procedure</x:v>
      </x:c>
    </x:row>
    <x:row r="12">
      <x:c r="A12" s="42" t="str">
        <x:v>Inspection</x:v>
      </x:c>
      <x:c r="B12" s="42" t="str">
        <x:v>Investigate vibration-related condition</x:v>
      </x:c>
      <x:c r="C12" s="42" t="str">
        <x:v>PA-204A-01</x:v>
      </x:c>
      <x:c r="D12" s="42" t="str">
        <x:v>Inspection work</x:v>
      </x:c>
      <x:c r="E12" s="42" t="str">
        <x:v>Inspection findings</x:v>
      </x:c>
      <x:c r="F12" s="42" t="str">
        <x:v>Mechanical Maintenance</x:v>
      </x:c>
      <x:c r="G12" s="42" t="str">
        <x:v>Open</x:v>
      </x:c>
      <x:c r="H12" s="42" t="str">
        <x:v>Maintenance History + Alarm Log</x:v>
      </x:c>
    </x:row>
    <x:row r="13">
      <x:c r="A13" s="42" t="str">
        <x:v>Inspection</x:v>
      </x:c>
      <x:c r="B13" s="42" t="str">
        <x:v>Verify coupling / alignment</x:v>
      </x:c>
      <x:c r="C13" s="42" t="str">
        <x:v>PA-204A-02</x:v>
      </x:c>
      <x:c r="D13" s="42" t="str">
        <x:v>Isolation confirmed</x:v>
      </x:c>
      <x:c r="E13" s="42" t="str">
        <x:v>Alignment record</x:v>
      </x:c>
      <x:c r="F13" s="42" t="str">
        <x:v>Mechanical Maintenance</x:v>
      </x:c>
      <x:c r="G13" s="42" t="str">
        <x:v>Open</x:v>
      </x:c>
      <x:c r="H13" s="42" t="str">
        <x:v>Maintenance Procedure</x:v>
      </x:c>
    </x:row>
    <x:row r="14">
      <x:c r="A14" s="42" t="str">
        <x:v>Inspection</x:v>
      </x:c>
      <x:c r="B14" s="42" t="str">
        <x:v>Inspect bearing condition</x:v>
      </x:c>
      <x:c r="C14" s="42" t="str">
        <x:v>PA-204A-03</x:v>
      </x:c>
      <x:c r="D14" s="42" t="str">
        <x:v>Isolation confirmed</x:v>
      </x:c>
      <x:c r="E14" s="42" t="str">
        <x:v>Bearing inspection record</x:v>
      </x:c>
      <x:c r="F14" s="42" t="str">
        <x:v>Mechanical Maintenance</x:v>
      </x:c>
      <x:c r="G14" s="42" t="str">
        <x:v>Open</x:v>
      </x:c>
      <x:c r="H14" s="42" t="str">
        <x:v>Maintenance Procedure</x:v>
      </x:c>
    </x:row>
    <x:row r="15">
      <x:c r="A15" s="42" t="str">
        <x:v>Inspection</x:v>
      </x:c>
      <x:c r="B15" s="42" t="str">
        <x:v>Inspect mechanical seal / leakage</x:v>
      </x:c>
      <x:c r="C15" s="42" t="str">
        <x:v>PA-204A-04</x:v>
      </x:c>
      <x:c r="D15" s="42" t="str">
        <x:v>Casing drained</x:v>
      </x:c>
      <x:c r="E15" s="42" t="str">
        <x:v>Seal inspection record</x:v>
      </x:c>
      <x:c r="F15" s="42" t="str">
        <x:v>Mechanical Maintenance</x:v>
      </x:c>
      <x:c r="G15" s="42" t="str">
        <x:v>Open</x:v>
      </x:c>
      <x:c r="H15" s="42" t="str">
        <x:v>Maintenance History + Shift Log</x:v>
      </x:c>
    </x:row>
    <x:row r="16">
      <x:c r="A16" s="42" t="str">
        <x:v>Reinstatement</x:v>
      </x:c>
      <x:c r="B16" s="42" t="str">
        <x:v>Install guards / secure fasteners / remove tools</x:v>
      </x:c>
      <x:c r="C16" s="42" t="str">
        <x:v>PA-204A-13</x:v>
      </x:c>
      <x:c r="D16" s="42" t="str">
        <x:v>Before restart</x:v>
      </x:c>
      <x:c r="E16" s="42" t="str">
        <x:v>Pre-start checklist</x:v>
      </x:c>
      <x:c r="F16" s="42" t="str">
        <x:v>Mechanical Maintenance</x:v>
      </x:c>
      <x:c r="G16" s="42" t="str">
        <x:v>Not Started</x:v>
      </x:c>
      <x:c r="H16" s="42" t="str">
        <x:v>Maintenance + Safety Procedure</x:v>
      </x:c>
    </x:row>
    <x:row r="17">
      <x:c r="A17" s="42" t="str">
        <x:v>Restart</x:v>
      </x:c>
      <x:c r="B17" s="42" t="str">
        <x:v>Clear LOTO according to approved procedure</x:v>
      </x:c>
      <x:c r="C17" s="42" t="str">
        <x:v>PA-204A-13</x:v>
      </x:c>
      <x:c r="D17" s="42" t="str">
        <x:v>Controlled restart</x:v>
      </x:c>
      <x:c r="E17" s="42" t="str">
        <x:v>Lock / tag clearance record</x:v>
      </x:c>
      <x:c r="F17" s="42" t="str">
        <x:v>Authorized Personnel</x:v>
      </x:c>
      <x:c r="G17" s="42" t="str">
        <x:v>Not Started</x:v>
      </x:c>
      <x:c r="H17" s="42" t="str">
        <x:v>Safety / LOTO Procedure</x:v>
      </x:c>
    </x:row>
    <x:row r="18">
      <x:c r="A18" s="42" t="str">
        <x:v>Restart</x:v>
      </x:c>
      <x:c r="B18" s="42" t="str">
        <x:v>Perform controlled restart and monitor equipment</x:v>
      </x:c>
      <x:c r="C18" s="42" t="str">
        <x:v>PA-204A-07</x:v>
      </x:c>
      <x:c r="D18" s="42" t="str">
        <x:v>Personnel clear</x:v>
      </x:c>
      <x:c r="E18" s="42" t="str">
        <x:v>Post-start monitoring log</x:v>
      </x:c>
      <x:c r="F18" s="42" t="str">
        <x:v>Operations + Maintenance</x:v>
      </x:c>
      <x:c r="G18" s="42" t="str">
        <x:v>Not Started</x:v>
      </x:c>
      <x:c r="H18" s="42" t="str">
        <x:v>Maintenance Procedure</x:v>
      </x:c>
    </x:row>
    <x:row r="19">
      <x:c r="A19" s="42" t="str">
        <x:v>Closeout</x:v>
      </x:c>
      <x:c r="B19" s="42" t="str">
        <x:v>Document findings and open exceptions</x:v>
      </x:c>
      <x:c r="C19" s="42" t="str">
        <x:v>PA-204A-06</x:v>
      </x:c>
      <x:c r="D19" s="42" t="str">
        <x:v>After restart</x:v>
      </x:c>
      <x:c r="E19" s="42" t="str">
        <x:v>Maintenance closeout report</x:v>
      </x:c>
      <x:c r="F19" s="42" t="str">
        <x:v>Maintenance Planning</x:v>
      </x:c>
      <x:c r="G19" s="42" t="str">
        <x:v>Not Started</x:v>
      </x:c>
      <x:c r="H19" s="42" t="str">
        <x:v>Maintenance History</x:v>
      </x:c>
    </x:row>
  </x:sheetData>
  <x:mergeCells>
    <x:mergeCell ref="A1:H1"/>
  </x:mergeCells>
  <x:conditionalFormatting sqref="G4:G100">
    <x:cfRule type="expression" dxfId="5" priority="1">
      <x:formula>G4="Completed"</x:formula>
    </x:cfRule>
    <x:cfRule type="expression" dxfId="6" priority="2">
      <x:formula>G4="Blocked"</x:formula>
    </x:cfRule>
  </x:conditionalFormatting>
  <x:dataValidations count="1">
    <x:dataValidation type="list" sqref="G4:G100">
      <x:formula1>"Not Started,Open,In Progress,Blocked,Completed"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2" hidden="0" customWidth="1"/>
    <x:col min="3" max="3" width="42" hidden="0" customWidth="1"/>
    <x:col min="4" max="4" width="34" hidden="0" customWidth="1"/>
    <x:col min="5" max="5" width="24" hidden="0" customWidth="1"/>
    <x:col min="6" max="6" width="42" hidden="0" customWidth="1"/>
  </x:cols>
  <x:sheetData>
    <x:row r="1">
      <x:c r="A1" s="62" t="str">
        <x:v>SovAI RAG → Maintenance Action / Artifact Guide</x:v>
      </x:c>
    </x:row>
    <x:row r="3">
      <x:c r="A3" s="66" t="str">
        <x:v>Prototype Question</x:v>
      </x:c>
      <x:c r="B3" s="66" t="str">
        <x:v>Documents to Retrieve</x:v>
      </x:c>
      <x:c r="C3" s="66" t="str">
        <x:v>Key Evidence</x:v>
      </x:c>
      <x:c r="D3" s="66" t="str">
        <x:v>Expected Action</x:v>
      </x:c>
      <x:c r="E3" s="66" t="str">
        <x:v>Artifact Output</x:v>
      </x:c>
      <x:c r="F3" s="66" t="str">
        <x:v>Grounding Constraint</x:v>
      </x:c>
    </x:row>
    <x:row r="4">
      <x:c r="A4" s="42" t="str">
        <x:v>Which maintenance actions are still pending for P-204A?</x:v>
      </x:c>
      <x:c r="B4" s="42" t="str">
        <x:v>Maintenance History + Daily Shift Log + Alarm Log</x:v>
      </x:c>
      <x:c r="C4" s="42" t="str">
        <x:v>Open action IDs, recurring issues, current observations</x:v>
      </x:c>
      <x:c r="D4" s="42" t="str">
        <x:v>Compile current action set</x:v>
      </x:c>
      <x:c r="E4" s="42" t="str">
        <x:v>XLSX Action Tracker</x:v>
      </x:c>
      <x:c r="F4" s="42" t="str">
        <x:v>Do not add actions not supported by retrieved records.</x:v>
      </x:c>
    </x:row>
    <x:row r="5">
      <x:c r="A5" s="42" t="str">
        <x:v>Generate a maintenance work order from the pump history and procedure.</x:v>
      </x:c>
      <x:c r="B5" s="42" t="str">
        <x:v>Maintenance History + Maintenance Procedure + Safety / LOTO</x:v>
      </x:c>
      <x:c r="C5" s="42" t="str">
        <x:v>Issue, maintenance steps, safety dependencies, tools</x:v>
      </x:c>
      <x:c r="D5" s="42" t="str">
        <x:v>Create structured work-order scope</x:v>
      </x:c>
      <x:c r="E5" s="42" t="str">
        <x:v>DOCX Work Order</x:v>
      </x:c>
      <x:c r="F5" s="42" t="str">
        <x:v>Mark missing values rather than inventing them.</x:v>
      </x:c>
    </x:row>
    <x:row r="6">
      <x:c r="A6" s="42" t="str">
        <x:v>Create a shift handover report for P-204A.</x:v>
      </x:c>
      <x:c r="B6" s="42" t="str">
        <x:v>Daily Shift Log + Alarm Log + Action Register</x:v>
      </x:c>
      <x:c r="C6" s="42" t="str">
        <x:v>Events, abnormalities, open actions, handover notes</x:v>
      </x:c>
      <x:c r="D6" s="42" t="str">
        <x:v>Summarize current operational picture</x:v>
      </x:c>
      <x:c r="E6" s="42" t="str">
        <x:v>DOCX Handover</x:v>
      </x:c>
      <x:c r="F6" s="42" t="str">
        <x:v>Separate observations from confirmed findings.</x:v>
      </x:c>
    </x:row>
    <x:row r="7">
      <x:c r="A7" s="42" t="str">
        <x:v>Create an Excel tracker of all open maintenance tasks.</x:v>
      </x:c>
      <x:c r="B7" s="42" t="str">
        <x:v>Action Register + Shift Log</x:v>
      </x:c>
      <x:c r="C7" s="42" t="str">
        <x:v>Action ID, priority, owner, target date, status</x:v>
      </x:c>
      <x:c r="D7" s="42" t="str">
        <x:v>Generate structured tracker</x:v>
      </x:c>
      <x:c r="E7" s="42" t="str">
        <x:v>XLSX Tracker</x:v>
      </x:c>
      <x:c r="F7" s="42" t="str">
        <x:v>Preserve source action IDs and status.</x:v>
      </x:c>
    </x:row>
    <x:row r="8">
      <x:c r="A8" s="42" t="str">
        <x:v>Create a management presentation on recurring pump issues.</x:v>
      </x:c>
      <x:c r="B8" s="42" t="str">
        <x:v>Maintenance History + Alarm Log + Action Register</x:v>
      </x:c>
      <x:c r="C8" s="42" t="str">
        <x:v>Recurring issues, event history, open corrective actions</x:v>
      </x:c>
      <x:c r="D8" s="42" t="str">
        <x:v>Synthesize evidence into executive structure</x:v>
      </x:c>
      <x:c r="E8" s="42" t="str">
        <x:v>PPTX Presentation</x:v>
      </x:c>
      <x:c r="F8" s="42" t="str">
        <x:v>No unsupported root-cause or KPI claims.</x:v>
      </x:c>
    </x:row>
    <x:row r="11">
      <x:c r="A11" s="72" t="str">
        <x:v>GROUNDING RULE: This workbook is synthetic demo data. SovAI should use only retrieved evidence, clearly distinguish observed conditions from engineering conclusions, and explicitly state when site-specific values, approvals, measurements or equipment identifiers are not present.</x:v>
      </x:c>
      <x:c r="B11" s="72"/>
      <x:c r="C11" s="72"/>
      <x:c r="D11" s="72"/>
      <x:c r="E11" s="72"/>
      <x:c r="F11" s="72"/>
    </x:row>
    <x:row r="12">
      <x:c r="A12" s="72"/>
      <x:c r="B12" s="72"/>
      <x:c r="C12" s="72"/>
      <x:c r="D12" s="72"/>
      <x:c r="E12" s="72"/>
      <x:c r="F12" s="72"/>
    </x:row>
    <x:row r="13">
      <x:c r="A13" s="72"/>
      <x:c r="B13" s="72"/>
      <x:c r="C13" s="72"/>
      <x:c r="D13" s="72"/>
      <x:c r="E13" s="72"/>
      <x:c r="F13" s="72"/>
    </x:row>
  </x:sheetData>
  <x:mergeCells>
    <x:mergeCell ref="A1:F1"/>
    <x:mergeCell ref="A11:F13"/>
  </x:mergeCells>
  <x:pageMargins left="0.7" right="0.7" top="0.75" bottom="0.75" header="0.3" footer="0.3"/>
</x:worksheet>
</file>